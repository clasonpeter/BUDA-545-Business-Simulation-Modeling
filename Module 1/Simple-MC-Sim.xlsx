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so\Downloads\"/>
    </mc:Choice>
  </mc:AlternateContent>
  <xr:revisionPtr revIDLastSave="0" documentId="13_ncr:1_{DF73BB23-7292-40AC-8D4B-592892332B50}" xr6:coauthVersionLast="47" xr6:coauthVersionMax="47" xr10:uidLastSave="{00000000-0000-0000-0000-000000000000}"/>
  <bookViews>
    <workbookView xWindow="-105" yWindow="0" windowWidth="14880" windowHeight="15585" activeTab="1" xr2:uid="{E8A720DD-4D4D-4DEE-8E46-8505E4048505}"/>
  </bookViews>
  <sheets>
    <sheet name="R-fn" sheetId="3" r:id="rId1"/>
    <sheet name="Discrete" sheetId="1" r:id="rId2"/>
    <sheet name="Continous" sheetId="2" r:id="rId3"/>
  </sheets>
  <definedNames>
    <definedName name="Lookup">Continous!#REF!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R14" i="1" s="1"/>
  <c r="S14" i="1" s="1"/>
  <c r="Q15" i="1"/>
  <c r="R15" i="1"/>
  <c r="S15" i="1" s="1"/>
  <c r="Q16" i="1"/>
  <c r="R16" i="1" s="1"/>
  <c r="S16" i="1" s="1"/>
  <c r="Q17" i="1"/>
  <c r="R17" i="1"/>
  <c r="S17" i="1" s="1"/>
  <c r="Q18" i="1"/>
  <c r="R18" i="1" s="1"/>
  <c r="S18" i="1" s="1"/>
  <c r="Q19" i="1"/>
  <c r="R19" i="1"/>
  <c r="S19" i="1" s="1"/>
  <c r="Q20" i="1"/>
  <c r="R20" i="1"/>
  <c r="S20" i="1"/>
  <c r="Q21" i="1"/>
  <c r="R21" i="1"/>
  <c r="S21" i="1" s="1"/>
  <c r="Q22" i="1"/>
  <c r="R22" i="1"/>
  <c r="S22" i="1"/>
  <c r="Q23" i="1"/>
  <c r="R23" i="1" s="1"/>
  <c r="S23" i="1" s="1"/>
  <c r="Q24" i="1"/>
  <c r="R24" i="1" s="1"/>
  <c r="S24" i="1" s="1"/>
  <c r="Q25" i="1"/>
  <c r="R25" i="1"/>
  <c r="S25" i="1"/>
  <c r="Q26" i="1"/>
  <c r="R26" i="1" s="1"/>
  <c r="S26" i="1" s="1"/>
  <c r="Q27" i="1"/>
  <c r="R27" i="1"/>
  <c r="S27" i="1"/>
  <c r="Q28" i="1"/>
  <c r="R28" i="1" s="1"/>
  <c r="S28" i="1" s="1"/>
  <c r="Q29" i="1"/>
  <c r="R29" i="1"/>
  <c r="S29" i="1" s="1"/>
  <c r="Q30" i="1"/>
  <c r="R30" i="1" s="1"/>
  <c r="S30" i="1" s="1"/>
  <c r="Q31" i="1"/>
  <c r="R31" i="1"/>
  <c r="S31" i="1" s="1"/>
  <c r="Q32" i="1"/>
  <c r="R32" i="1" s="1"/>
  <c r="S32" i="1" s="1"/>
  <c r="Q33" i="1"/>
  <c r="R33" i="1"/>
  <c r="S33" i="1" s="1"/>
  <c r="Q34" i="1"/>
  <c r="R34" i="1" s="1"/>
  <c r="S34" i="1" s="1"/>
  <c r="Q35" i="1"/>
  <c r="R35" i="1"/>
  <c r="S35" i="1" s="1"/>
  <c r="Q36" i="1"/>
  <c r="R36" i="1"/>
  <c r="S36" i="1"/>
  <c r="Q37" i="1"/>
  <c r="R37" i="1"/>
  <c r="S37" i="1" s="1"/>
  <c r="Q38" i="1"/>
  <c r="R38" i="1"/>
  <c r="S38" i="1"/>
  <c r="Q39" i="1"/>
  <c r="R39" i="1" s="1"/>
  <c r="S39" i="1" s="1"/>
  <c r="Q40" i="1"/>
  <c r="R40" i="1" s="1"/>
  <c r="S40" i="1" s="1"/>
  <c r="Q41" i="1"/>
  <c r="R41" i="1"/>
  <c r="S41" i="1"/>
  <c r="Q42" i="1"/>
  <c r="R42" i="1" s="1"/>
  <c r="S42" i="1" s="1"/>
  <c r="Q43" i="1"/>
  <c r="R43" i="1"/>
  <c r="S43" i="1"/>
  <c r="Q44" i="1"/>
  <c r="R44" i="1" s="1"/>
  <c r="S44" i="1" s="1"/>
  <c r="Q45" i="1"/>
  <c r="R45" i="1"/>
  <c r="S45" i="1" s="1"/>
  <c r="Q46" i="1"/>
  <c r="R46" i="1" s="1"/>
  <c r="S46" i="1" s="1"/>
  <c r="Q47" i="1"/>
  <c r="R47" i="1"/>
  <c r="S47" i="1" s="1"/>
  <c r="Q48" i="1"/>
  <c r="R48" i="1" s="1"/>
  <c r="S48" i="1" s="1"/>
  <c r="Q49" i="1"/>
  <c r="R49" i="1"/>
  <c r="S49" i="1" s="1"/>
  <c r="Q50" i="1"/>
  <c r="R50" i="1" s="1"/>
  <c r="S50" i="1" s="1"/>
  <c r="Q51" i="1"/>
  <c r="R51" i="1"/>
  <c r="S51" i="1" s="1"/>
  <c r="Q52" i="1"/>
  <c r="R52" i="1"/>
  <c r="S52" i="1"/>
  <c r="Q53" i="1"/>
  <c r="R53" i="1"/>
  <c r="S53" i="1" s="1"/>
  <c r="Q54" i="1"/>
  <c r="R54" i="1"/>
  <c r="S54" i="1"/>
  <c r="Q55" i="1"/>
  <c r="R55" i="1" s="1"/>
  <c r="S55" i="1" s="1"/>
  <c r="Q56" i="1"/>
  <c r="R56" i="1" s="1"/>
  <c r="S56" i="1" s="1"/>
  <c r="Q57" i="1"/>
  <c r="R57" i="1"/>
  <c r="S57" i="1"/>
  <c r="Q58" i="1"/>
  <c r="R58" i="1" s="1"/>
  <c r="S58" i="1" s="1"/>
  <c r="Q59" i="1"/>
  <c r="R59" i="1"/>
  <c r="S59" i="1"/>
  <c r="Q60" i="1"/>
  <c r="R60" i="1" s="1"/>
  <c r="S60" i="1" s="1"/>
  <c r="Q61" i="1"/>
  <c r="R61" i="1"/>
  <c r="S61" i="1" s="1"/>
  <c r="Q62" i="1"/>
  <c r="R62" i="1" s="1"/>
  <c r="S62" i="1" s="1"/>
  <c r="Q63" i="1"/>
  <c r="R63" i="1"/>
  <c r="S63" i="1" s="1"/>
  <c r="Q64" i="1"/>
  <c r="R64" i="1" s="1"/>
  <c r="S64" i="1" s="1"/>
  <c r="Q65" i="1"/>
  <c r="R65" i="1"/>
  <c r="S65" i="1" s="1"/>
  <c r="Q66" i="1"/>
  <c r="R66" i="1" s="1"/>
  <c r="S66" i="1" s="1"/>
  <c r="Q67" i="1"/>
  <c r="R67" i="1"/>
  <c r="S67" i="1" s="1"/>
  <c r="Q68" i="1"/>
  <c r="R68" i="1"/>
  <c r="S68" i="1"/>
  <c r="Q69" i="1"/>
  <c r="R69" i="1"/>
  <c r="S69" i="1" s="1"/>
  <c r="Q70" i="1"/>
  <c r="R70" i="1"/>
  <c r="S70" i="1"/>
  <c r="Q71" i="1"/>
  <c r="R71" i="1" s="1"/>
  <c r="S71" i="1" s="1"/>
  <c r="Q72" i="1"/>
  <c r="R72" i="1" s="1"/>
  <c r="S72" i="1" s="1"/>
  <c r="Q73" i="1"/>
  <c r="R73" i="1"/>
  <c r="S73" i="1"/>
  <c r="Q74" i="1"/>
  <c r="R74" i="1" s="1"/>
  <c r="S74" i="1" s="1"/>
  <c r="Q75" i="1"/>
  <c r="R75" i="1"/>
  <c r="S75" i="1"/>
  <c r="Q76" i="1"/>
  <c r="R76" i="1" s="1"/>
  <c r="S76" i="1" s="1"/>
  <c r="Q77" i="1"/>
  <c r="R77" i="1"/>
  <c r="S77" i="1" s="1"/>
  <c r="Q78" i="1"/>
  <c r="R78" i="1" s="1"/>
  <c r="S78" i="1" s="1"/>
  <c r="Q79" i="1"/>
  <c r="R79" i="1"/>
  <c r="S79" i="1" s="1"/>
  <c r="Q80" i="1"/>
  <c r="R80" i="1" s="1"/>
  <c r="S80" i="1" s="1"/>
  <c r="Q81" i="1"/>
  <c r="R81" i="1"/>
  <c r="S81" i="1" s="1"/>
  <c r="Q82" i="1"/>
  <c r="R82" i="1" s="1"/>
  <c r="S82" i="1" s="1"/>
  <c r="Q83" i="1"/>
  <c r="R83" i="1"/>
  <c r="S83" i="1" s="1"/>
  <c r="Q84" i="1"/>
  <c r="R84" i="1"/>
  <c r="S84" i="1"/>
  <c r="Q85" i="1"/>
  <c r="R85" i="1"/>
  <c r="S85" i="1" s="1"/>
  <c r="Q86" i="1"/>
  <c r="R86" i="1"/>
  <c r="S86" i="1"/>
  <c r="Q87" i="1"/>
  <c r="R87" i="1" s="1"/>
  <c r="S87" i="1" s="1"/>
  <c r="Q88" i="1"/>
  <c r="R88" i="1" s="1"/>
  <c r="S88" i="1" s="1"/>
  <c r="Q89" i="1"/>
  <c r="R89" i="1"/>
  <c r="S89" i="1"/>
  <c r="Q90" i="1"/>
  <c r="R90" i="1" s="1"/>
  <c r="S90" i="1" s="1"/>
  <c r="Q91" i="1"/>
  <c r="R91" i="1"/>
  <c r="S91" i="1"/>
  <c r="Q92" i="1"/>
  <c r="R92" i="1" s="1"/>
  <c r="S92" i="1" s="1"/>
  <c r="Q93" i="1"/>
  <c r="R93" i="1"/>
  <c r="S93" i="1" s="1"/>
  <c r="Q94" i="1"/>
  <c r="R94" i="1" s="1"/>
  <c r="S94" i="1" s="1"/>
  <c r="Q95" i="1"/>
  <c r="R95" i="1"/>
  <c r="S95" i="1" s="1"/>
  <c r="Q96" i="1"/>
  <c r="R96" i="1" s="1"/>
  <c r="S96" i="1" s="1"/>
  <c r="Q97" i="1"/>
  <c r="R97" i="1"/>
  <c r="S97" i="1" s="1"/>
  <c r="Q98" i="1"/>
  <c r="R98" i="1" s="1"/>
  <c r="S98" i="1" s="1"/>
  <c r="Q99" i="1"/>
  <c r="R99" i="1"/>
  <c r="S99" i="1" s="1"/>
  <c r="Q100" i="1"/>
  <c r="R100" i="1"/>
  <c r="S100" i="1"/>
  <c r="Q101" i="1"/>
  <c r="R101" i="1"/>
  <c r="S101" i="1" s="1"/>
  <c r="Q102" i="1"/>
  <c r="R102" i="1"/>
  <c r="S102" i="1"/>
  <c r="Q103" i="1"/>
  <c r="R103" i="1" s="1"/>
  <c r="S103" i="1" s="1"/>
  <c r="Q104" i="1"/>
  <c r="R104" i="1" s="1"/>
  <c r="S104" i="1" s="1"/>
  <c r="Q105" i="1"/>
  <c r="R105" i="1"/>
  <c r="S105" i="1"/>
  <c r="Q106" i="1"/>
  <c r="R106" i="1" s="1"/>
  <c r="S106" i="1" s="1"/>
  <c r="Q107" i="1"/>
  <c r="R107" i="1"/>
  <c r="S107" i="1"/>
  <c r="Q108" i="1"/>
  <c r="R108" i="1" s="1"/>
  <c r="S108" i="1" s="1"/>
  <c r="Q109" i="1"/>
  <c r="R109" i="1"/>
  <c r="S109" i="1" s="1"/>
  <c r="Q110" i="1"/>
  <c r="R110" i="1" s="1"/>
  <c r="S110" i="1" s="1"/>
  <c r="Q111" i="1"/>
  <c r="R111" i="1"/>
  <c r="S111" i="1" s="1"/>
  <c r="Q112" i="1"/>
  <c r="R112" i="1" s="1"/>
  <c r="S112" i="1" s="1"/>
  <c r="Q113" i="1"/>
  <c r="R113" i="1"/>
  <c r="S113" i="1" s="1"/>
  <c r="Q114" i="1"/>
  <c r="R114" i="1" s="1"/>
  <c r="S114" i="1" s="1"/>
  <c r="Q115" i="1"/>
  <c r="R115" i="1"/>
  <c r="S115" i="1" s="1"/>
  <c r="Q116" i="1"/>
  <c r="R116" i="1"/>
  <c r="S116" i="1"/>
  <c r="Q117" i="1"/>
  <c r="R117" i="1"/>
  <c r="S117" i="1" s="1"/>
  <c r="Q118" i="1"/>
  <c r="R118" i="1"/>
  <c r="S118" i="1"/>
  <c r="Q119" i="1"/>
  <c r="R119" i="1" s="1"/>
  <c r="S119" i="1" s="1"/>
  <c r="Q120" i="1"/>
  <c r="R120" i="1" s="1"/>
  <c r="S120" i="1" s="1"/>
  <c r="Q121" i="1"/>
  <c r="R121" i="1"/>
  <c r="S121" i="1"/>
  <c r="Q122" i="1"/>
  <c r="R122" i="1" s="1"/>
  <c r="S122" i="1" s="1"/>
  <c r="Q123" i="1"/>
  <c r="R123" i="1"/>
  <c r="S123" i="1"/>
  <c r="Q124" i="1"/>
  <c r="R124" i="1" s="1"/>
  <c r="S124" i="1" s="1"/>
  <c r="Q125" i="1"/>
  <c r="R125" i="1"/>
  <c r="S125" i="1" s="1"/>
  <c r="Q126" i="1"/>
  <c r="R126" i="1" s="1"/>
  <c r="S126" i="1" s="1"/>
  <c r="Q127" i="1"/>
  <c r="R127" i="1"/>
  <c r="S127" i="1" s="1"/>
  <c r="Q128" i="1"/>
  <c r="R128" i="1" s="1"/>
  <c r="S128" i="1" s="1"/>
  <c r="Q129" i="1"/>
  <c r="R129" i="1"/>
  <c r="S129" i="1" s="1"/>
  <c r="Q130" i="1"/>
  <c r="R130" i="1" s="1"/>
  <c r="S130" i="1" s="1"/>
  <c r="Q131" i="1"/>
  <c r="R131" i="1"/>
  <c r="S131" i="1" s="1"/>
  <c r="Q132" i="1"/>
  <c r="R132" i="1"/>
  <c r="S132" i="1"/>
  <c r="Q133" i="1"/>
  <c r="R133" i="1"/>
  <c r="S133" i="1" s="1"/>
  <c r="Q134" i="1"/>
  <c r="R134" i="1"/>
  <c r="S134" i="1"/>
  <c r="Q135" i="1"/>
  <c r="R135" i="1" s="1"/>
  <c r="S135" i="1" s="1"/>
  <c r="Q136" i="1"/>
  <c r="R136" i="1" s="1"/>
  <c r="S136" i="1" s="1"/>
  <c r="Q137" i="1"/>
  <c r="R137" i="1"/>
  <c r="S137" i="1"/>
  <c r="Q138" i="1"/>
  <c r="R138" i="1" s="1"/>
  <c r="S138" i="1" s="1"/>
  <c r="Q139" i="1"/>
  <c r="R139" i="1"/>
  <c r="S139" i="1"/>
  <c r="Q140" i="1"/>
  <c r="R140" i="1" s="1"/>
  <c r="S140" i="1" s="1"/>
  <c r="Q141" i="1"/>
  <c r="R141" i="1"/>
  <c r="S141" i="1" s="1"/>
  <c r="Q142" i="1"/>
  <c r="R142" i="1" s="1"/>
  <c r="S142" i="1" s="1"/>
  <c r="Q143" i="1"/>
  <c r="R143" i="1"/>
  <c r="S143" i="1" s="1"/>
  <c r="Q144" i="1"/>
  <c r="R144" i="1" s="1"/>
  <c r="S144" i="1" s="1"/>
  <c r="Q145" i="1"/>
  <c r="R145" i="1"/>
  <c r="S145" i="1" s="1"/>
  <c r="Q146" i="1"/>
  <c r="R146" i="1" s="1"/>
  <c r="S146" i="1" s="1"/>
  <c r="Q147" i="1"/>
  <c r="R147" i="1"/>
  <c r="S147" i="1" s="1"/>
  <c r="Q148" i="1"/>
  <c r="R148" i="1"/>
  <c r="S148" i="1"/>
  <c r="Q149" i="1"/>
  <c r="R149" i="1"/>
  <c r="S149" i="1" s="1"/>
  <c r="Q150" i="1"/>
  <c r="R150" i="1"/>
  <c r="S150" i="1"/>
  <c r="Q151" i="1"/>
  <c r="R151" i="1" s="1"/>
  <c r="S151" i="1" s="1"/>
  <c r="Q152" i="1"/>
  <c r="R152" i="1" s="1"/>
  <c r="S152" i="1" s="1"/>
  <c r="Q153" i="1"/>
  <c r="R153" i="1"/>
  <c r="S153" i="1"/>
  <c r="Q154" i="1"/>
  <c r="R154" i="1" s="1"/>
  <c r="S154" i="1" s="1"/>
  <c r="Q155" i="1"/>
  <c r="R155" i="1"/>
  <c r="S155" i="1"/>
  <c r="Q156" i="1"/>
  <c r="R156" i="1" s="1"/>
  <c r="S156" i="1" s="1"/>
  <c r="Q157" i="1"/>
  <c r="R157" i="1"/>
  <c r="S157" i="1" s="1"/>
  <c r="Q158" i="1"/>
  <c r="R158" i="1" s="1"/>
  <c r="S158" i="1" s="1"/>
  <c r="Q159" i="1"/>
  <c r="R159" i="1"/>
  <c r="S159" i="1" s="1"/>
  <c r="Q160" i="1"/>
  <c r="R160" i="1" s="1"/>
  <c r="S160" i="1" s="1"/>
  <c r="Q161" i="1"/>
  <c r="R161" i="1"/>
  <c r="S161" i="1" s="1"/>
  <c r="Q162" i="1"/>
  <c r="R162" i="1" s="1"/>
  <c r="S162" i="1" s="1"/>
  <c r="Q163" i="1"/>
  <c r="R163" i="1"/>
  <c r="S163" i="1" s="1"/>
  <c r="Q164" i="1"/>
  <c r="R164" i="1"/>
  <c r="S164" i="1"/>
  <c r="Q165" i="1"/>
  <c r="R165" i="1"/>
  <c r="S165" i="1" s="1"/>
  <c r="Q166" i="1"/>
  <c r="R166" i="1"/>
  <c r="S166" i="1"/>
  <c r="Q167" i="1"/>
  <c r="R167" i="1" s="1"/>
  <c r="S167" i="1" s="1"/>
  <c r="Q168" i="1"/>
  <c r="R168" i="1" s="1"/>
  <c r="S168" i="1" s="1"/>
  <c r="Q169" i="1"/>
  <c r="R169" i="1"/>
  <c r="S169" i="1"/>
  <c r="Q170" i="1"/>
  <c r="R170" i="1" s="1"/>
  <c r="S170" i="1" s="1"/>
  <c r="Q171" i="1"/>
  <c r="R171" i="1"/>
  <c r="S171" i="1"/>
  <c r="Q172" i="1"/>
  <c r="R172" i="1" s="1"/>
  <c r="S172" i="1" s="1"/>
  <c r="Q173" i="1"/>
  <c r="R173" i="1"/>
  <c r="S173" i="1" s="1"/>
  <c r="Q174" i="1"/>
  <c r="R174" i="1" s="1"/>
  <c r="S174" i="1" s="1"/>
  <c r="Q175" i="1"/>
  <c r="R175" i="1"/>
  <c r="S175" i="1" s="1"/>
  <c r="Q176" i="1"/>
  <c r="R176" i="1" s="1"/>
  <c r="S176" i="1" s="1"/>
  <c r="Q177" i="1"/>
  <c r="R177" i="1"/>
  <c r="S177" i="1" s="1"/>
  <c r="Q178" i="1"/>
  <c r="R178" i="1" s="1"/>
  <c r="S178" i="1" s="1"/>
  <c r="Q179" i="1"/>
  <c r="R179" i="1"/>
  <c r="S179" i="1" s="1"/>
  <c r="Q180" i="1"/>
  <c r="R180" i="1"/>
  <c r="S180" i="1"/>
  <c r="Q181" i="1"/>
  <c r="R181" i="1"/>
  <c r="S181" i="1" s="1"/>
  <c r="Q182" i="1"/>
  <c r="R182" i="1"/>
  <c r="S182" i="1"/>
  <c r="Q183" i="1"/>
  <c r="R183" i="1" s="1"/>
  <c r="S183" i="1" s="1"/>
  <c r="Q184" i="1"/>
  <c r="R184" i="1" s="1"/>
  <c r="S184" i="1" s="1"/>
  <c r="Q185" i="1"/>
  <c r="R185" i="1"/>
  <c r="S185" i="1"/>
  <c r="Q186" i="1"/>
  <c r="R186" i="1" s="1"/>
  <c r="S186" i="1" s="1"/>
  <c r="Q187" i="1"/>
  <c r="R187" i="1"/>
  <c r="S187" i="1"/>
  <c r="Q188" i="1"/>
  <c r="R188" i="1" s="1"/>
  <c r="S188" i="1" s="1"/>
  <c r="Q189" i="1"/>
  <c r="R189" i="1"/>
  <c r="S189" i="1" s="1"/>
  <c r="Q190" i="1"/>
  <c r="R190" i="1" s="1"/>
  <c r="S190" i="1" s="1"/>
  <c r="Q191" i="1"/>
  <c r="R191" i="1"/>
  <c r="S191" i="1" s="1"/>
  <c r="Q192" i="1"/>
  <c r="R192" i="1" s="1"/>
  <c r="S192" i="1" s="1"/>
  <c r="Q193" i="1"/>
  <c r="R193" i="1"/>
  <c r="S193" i="1" s="1"/>
  <c r="Q194" i="1"/>
  <c r="R194" i="1" s="1"/>
  <c r="S194" i="1" s="1"/>
  <c r="Q195" i="1"/>
  <c r="R195" i="1"/>
  <c r="S195" i="1" s="1"/>
  <c r="Q196" i="1"/>
  <c r="R196" i="1"/>
  <c r="S196" i="1"/>
  <c r="Q197" i="1"/>
  <c r="R197" i="1"/>
  <c r="S197" i="1" s="1"/>
  <c r="Q198" i="1"/>
  <c r="R198" i="1"/>
  <c r="S198" i="1"/>
  <c r="Q199" i="1"/>
  <c r="R199" i="1" s="1"/>
  <c r="S199" i="1" s="1"/>
  <c r="Q200" i="1"/>
  <c r="R200" i="1" s="1"/>
  <c r="S200" i="1" s="1"/>
  <c r="Q201" i="1"/>
  <c r="R201" i="1"/>
  <c r="S201" i="1"/>
  <c r="Q202" i="1"/>
  <c r="R202" i="1" s="1"/>
  <c r="S202" i="1" s="1"/>
  <c r="Q203" i="1"/>
  <c r="R203" i="1"/>
  <c r="S203" i="1"/>
  <c r="L14" i="1"/>
  <c r="M14" i="1" s="1"/>
  <c r="N14" i="1" s="1"/>
  <c r="L15" i="1"/>
  <c r="M15" i="1" s="1"/>
  <c r="N15" i="1" s="1"/>
  <c r="L16" i="1"/>
  <c r="M16" i="1" s="1"/>
  <c r="N16" i="1" s="1"/>
  <c r="L17" i="1"/>
  <c r="M17" i="1"/>
  <c r="N17" i="1" s="1"/>
  <c r="L18" i="1"/>
  <c r="M18" i="1"/>
  <c r="N18" i="1"/>
  <c r="L19" i="1"/>
  <c r="M19" i="1" s="1"/>
  <c r="N19" i="1" s="1"/>
  <c r="L20" i="1"/>
  <c r="M20" i="1"/>
  <c r="N20" i="1" s="1"/>
  <c r="L21" i="1"/>
  <c r="M21" i="1"/>
  <c r="N21" i="1" s="1"/>
  <c r="L22" i="1"/>
  <c r="M22" i="1" s="1"/>
  <c r="N22" i="1" s="1"/>
  <c r="L23" i="1"/>
  <c r="M23" i="1"/>
  <c r="N23" i="1" s="1"/>
  <c r="L24" i="1"/>
  <c r="M24" i="1" s="1"/>
  <c r="N24" i="1" s="1"/>
  <c r="L25" i="1"/>
  <c r="M25" i="1" s="1"/>
  <c r="N25" i="1" s="1"/>
  <c r="L26" i="1"/>
  <c r="M26" i="1" s="1"/>
  <c r="N26" i="1" s="1"/>
  <c r="L27" i="1"/>
  <c r="M27" i="1" s="1"/>
  <c r="N27" i="1" s="1"/>
  <c r="L28" i="1"/>
  <c r="M28" i="1" s="1"/>
  <c r="N28" i="1" s="1"/>
  <c r="L29" i="1"/>
  <c r="M29" i="1"/>
  <c r="N29" i="1"/>
  <c r="L30" i="1"/>
  <c r="M30" i="1" s="1"/>
  <c r="N30" i="1" s="1"/>
  <c r="L31" i="1"/>
  <c r="M31" i="1"/>
  <c r="N31" i="1" s="1"/>
  <c r="L32" i="1"/>
  <c r="M32" i="1" s="1"/>
  <c r="N32" i="1" s="1"/>
  <c r="L33" i="1"/>
  <c r="M33" i="1" s="1"/>
  <c r="N33" i="1" s="1"/>
  <c r="L34" i="1"/>
  <c r="M34" i="1"/>
  <c r="N34" i="1"/>
  <c r="L35" i="1"/>
  <c r="M35" i="1" s="1"/>
  <c r="N35" i="1" s="1"/>
  <c r="L36" i="1"/>
  <c r="M36" i="1" s="1"/>
  <c r="N36" i="1" s="1"/>
  <c r="L37" i="1"/>
  <c r="M37" i="1"/>
  <c r="N37" i="1" s="1"/>
  <c r="L38" i="1"/>
  <c r="M38" i="1" s="1"/>
  <c r="N38" i="1" s="1"/>
  <c r="L39" i="1"/>
  <c r="M39" i="1" s="1"/>
  <c r="N39" i="1" s="1"/>
  <c r="L40" i="1"/>
  <c r="M40" i="1"/>
  <c r="N40" i="1" s="1"/>
  <c r="L41" i="1"/>
  <c r="M41" i="1" s="1"/>
  <c r="N41" i="1" s="1"/>
  <c r="L42" i="1"/>
  <c r="M42" i="1" s="1"/>
  <c r="N42" i="1" s="1"/>
  <c r="L43" i="1"/>
  <c r="M43" i="1"/>
  <c r="N43" i="1" s="1"/>
  <c r="L44" i="1"/>
  <c r="M44" i="1" s="1"/>
  <c r="N44" i="1" s="1"/>
  <c r="L45" i="1"/>
  <c r="M45" i="1"/>
  <c r="N45" i="1" s="1"/>
  <c r="L46" i="1"/>
  <c r="M46" i="1" s="1"/>
  <c r="N46" i="1" s="1"/>
  <c r="L47" i="1"/>
  <c r="M47" i="1" s="1"/>
  <c r="N47" i="1" s="1"/>
  <c r="L48" i="1"/>
  <c r="M48" i="1" s="1"/>
  <c r="N48" i="1" s="1"/>
  <c r="L49" i="1"/>
  <c r="M49" i="1"/>
  <c r="N49" i="1" s="1"/>
  <c r="L50" i="1"/>
  <c r="M50" i="1"/>
  <c r="N50" i="1" s="1"/>
  <c r="L51" i="1"/>
  <c r="M51" i="1" s="1"/>
  <c r="N51" i="1" s="1"/>
  <c r="L52" i="1"/>
  <c r="M52" i="1"/>
  <c r="N52" i="1"/>
  <c r="L53" i="1"/>
  <c r="M53" i="1" s="1"/>
  <c r="N53" i="1" s="1"/>
  <c r="L54" i="1"/>
  <c r="M54" i="1" s="1"/>
  <c r="N54" i="1" s="1"/>
  <c r="L55" i="1"/>
  <c r="M55" i="1"/>
  <c r="N55" i="1" s="1"/>
  <c r="L56" i="1"/>
  <c r="M56" i="1"/>
  <c r="N56" i="1" s="1"/>
  <c r="L57" i="1"/>
  <c r="M57" i="1" s="1"/>
  <c r="N57" i="1" s="1"/>
  <c r="L58" i="1"/>
  <c r="M58" i="1" s="1"/>
  <c r="N58" i="1" s="1"/>
  <c r="L59" i="1"/>
  <c r="M59" i="1" s="1"/>
  <c r="N59" i="1" s="1"/>
  <c r="L60" i="1"/>
  <c r="M60" i="1" s="1"/>
  <c r="N60" i="1" s="1"/>
  <c r="L61" i="1"/>
  <c r="M61" i="1" s="1"/>
  <c r="N61" i="1" s="1"/>
  <c r="L62" i="1"/>
  <c r="M62" i="1"/>
  <c r="N62" i="1" s="1"/>
  <c r="L63" i="1"/>
  <c r="M63" i="1"/>
  <c r="N63" i="1" s="1"/>
  <c r="L64" i="1"/>
  <c r="M64" i="1" s="1"/>
  <c r="N64" i="1" s="1"/>
  <c r="L65" i="1"/>
  <c r="M65" i="1"/>
  <c r="N65" i="1" s="1"/>
  <c r="L66" i="1"/>
  <c r="M66" i="1" s="1"/>
  <c r="N66" i="1" s="1"/>
  <c r="L67" i="1"/>
  <c r="M67" i="1" s="1"/>
  <c r="N67" i="1" s="1"/>
  <c r="L68" i="1"/>
  <c r="M68" i="1"/>
  <c r="N68" i="1"/>
  <c r="L69" i="1"/>
  <c r="M69" i="1" s="1"/>
  <c r="N69" i="1" s="1"/>
  <c r="L70" i="1"/>
  <c r="M70" i="1"/>
  <c r="N70" i="1" s="1"/>
  <c r="L71" i="1"/>
  <c r="M71" i="1" s="1"/>
  <c r="N71" i="1" s="1"/>
  <c r="L72" i="1"/>
  <c r="M72" i="1"/>
  <c r="N72" i="1" s="1"/>
  <c r="L73" i="1"/>
  <c r="M73" i="1" s="1"/>
  <c r="N73" i="1" s="1"/>
  <c r="L74" i="1"/>
  <c r="M74" i="1" s="1"/>
  <c r="N74" i="1" s="1"/>
  <c r="L75" i="1"/>
  <c r="M75" i="1"/>
  <c r="N75" i="1"/>
  <c r="L76" i="1"/>
  <c r="M76" i="1" s="1"/>
  <c r="N76" i="1" s="1"/>
  <c r="L77" i="1"/>
  <c r="M77" i="1" s="1"/>
  <c r="N77" i="1" s="1"/>
  <c r="L78" i="1"/>
  <c r="M78" i="1" s="1"/>
  <c r="N78" i="1" s="1"/>
  <c r="L79" i="1"/>
  <c r="M79" i="1" s="1"/>
  <c r="N79" i="1" s="1"/>
  <c r="L80" i="1"/>
  <c r="M80" i="1" s="1"/>
  <c r="N80" i="1" s="1"/>
  <c r="L81" i="1"/>
  <c r="M81" i="1"/>
  <c r="N81" i="1" s="1"/>
  <c r="L82" i="1"/>
  <c r="M82" i="1"/>
  <c r="N82" i="1" s="1"/>
  <c r="L83" i="1"/>
  <c r="M83" i="1" s="1"/>
  <c r="N83" i="1" s="1"/>
  <c r="L84" i="1"/>
  <c r="M84" i="1"/>
  <c r="N84" i="1"/>
  <c r="L85" i="1"/>
  <c r="M85" i="1" s="1"/>
  <c r="N85" i="1" s="1"/>
  <c r="L86" i="1"/>
  <c r="M86" i="1" s="1"/>
  <c r="N86" i="1" s="1"/>
  <c r="L87" i="1"/>
  <c r="M87" i="1"/>
  <c r="N87" i="1"/>
  <c r="L88" i="1"/>
  <c r="M88" i="1" s="1"/>
  <c r="N88" i="1" s="1"/>
  <c r="L89" i="1"/>
  <c r="M89" i="1" s="1"/>
  <c r="N89" i="1" s="1"/>
  <c r="L90" i="1"/>
  <c r="M90" i="1" s="1"/>
  <c r="N90" i="1" s="1"/>
  <c r="L91" i="1"/>
  <c r="M91" i="1"/>
  <c r="N91" i="1"/>
  <c r="L92" i="1"/>
  <c r="M92" i="1" s="1"/>
  <c r="N92" i="1" s="1"/>
  <c r="L93" i="1"/>
  <c r="M93" i="1" s="1"/>
  <c r="N93" i="1" s="1"/>
  <c r="L94" i="1"/>
  <c r="M94" i="1"/>
  <c r="N94" i="1" s="1"/>
  <c r="L95" i="1"/>
  <c r="M95" i="1"/>
  <c r="N95" i="1" s="1"/>
  <c r="L96" i="1"/>
  <c r="M96" i="1" s="1"/>
  <c r="N96" i="1" s="1"/>
  <c r="L97" i="1"/>
  <c r="M97" i="1" s="1"/>
  <c r="N97" i="1" s="1"/>
  <c r="L98" i="1"/>
  <c r="M98" i="1" s="1"/>
  <c r="N98" i="1" s="1"/>
  <c r="L99" i="1"/>
  <c r="M99" i="1" s="1"/>
  <c r="N99" i="1" s="1"/>
  <c r="L100" i="1"/>
  <c r="M100" i="1"/>
  <c r="N100" i="1" s="1"/>
  <c r="L101" i="1"/>
  <c r="M101" i="1"/>
  <c r="N101" i="1" s="1"/>
  <c r="L102" i="1"/>
  <c r="M102" i="1"/>
  <c r="N102" i="1" s="1"/>
  <c r="L103" i="1"/>
  <c r="M103" i="1"/>
  <c r="N103" i="1"/>
  <c r="L104" i="1"/>
  <c r="M104" i="1"/>
  <c r="N104" i="1" s="1"/>
  <c r="L105" i="1"/>
  <c r="M105" i="1" s="1"/>
  <c r="N105" i="1" s="1"/>
  <c r="L106" i="1"/>
  <c r="M106" i="1" s="1"/>
  <c r="N106" i="1" s="1"/>
  <c r="L107" i="1"/>
  <c r="M107" i="1"/>
  <c r="N107" i="1"/>
  <c r="L108" i="1"/>
  <c r="M108" i="1" s="1"/>
  <c r="N108" i="1" s="1"/>
  <c r="L109" i="1"/>
  <c r="M109" i="1"/>
  <c r="N109" i="1" s="1"/>
  <c r="L110" i="1"/>
  <c r="M110" i="1" s="1"/>
  <c r="N110" i="1" s="1"/>
  <c r="L111" i="1"/>
  <c r="M111" i="1"/>
  <c r="N111" i="1" s="1"/>
  <c r="L112" i="1"/>
  <c r="M112" i="1" s="1"/>
  <c r="N112" i="1" s="1"/>
  <c r="L113" i="1"/>
  <c r="M113" i="1"/>
  <c r="N113" i="1" s="1"/>
  <c r="L114" i="1"/>
  <c r="M114" i="1"/>
  <c r="N114" i="1"/>
  <c r="L115" i="1"/>
  <c r="M115" i="1" s="1"/>
  <c r="N115" i="1" s="1"/>
  <c r="L116" i="1"/>
  <c r="M116" i="1" s="1"/>
  <c r="N116" i="1" s="1"/>
  <c r="L117" i="1"/>
  <c r="M117" i="1" s="1"/>
  <c r="N117" i="1" s="1"/>
  <c r="L118" i="1"/>
  <c r="M118" i="1" s="1"/>
  <c r="N118" i="1" s="1"/>
  <c r="L119" i="1"/>
  <c r="M119" i="1"/>
  <c r="N119" i="1" s="1"/>
  <c r="L120" i="1"/>
  <c r="M120" i="1" s="1"/>
  <c r="N120" i="1" s="1"/>
  <c r="L121" i="1"/>
  <c r="M121" i="1" s="1"/>
  <c r="N121" i="1" s="1"/>
  <c r="L122" i="1"/>
  <c r="M122" i="1" s="1"/>
  <c r="N122" i="1" s="1"/>
  <c r="L123" i="1"/>
  <c r="M123" i="1"/>
  <c r="N123" i="1" s="1"/>
  <c r="L124" i="1"/>
  <c r="M124" i="1" s="1"/>
  <c r="N124" i="1" s="1"/>
  <c r="L125" i="1"/>
  <c r="M125" i="1" s="1"/>
  <c r="N125" i="1" s="1"/>
  <c r="L126" i="1"/>
  <c r="M126" i="1"/>
  <c r="N126" i="1" s="1"/>
  <c r="L127" i="1"/>
  <c r="M127" i="1"/>
  <c r="N127" i="1" s="1"/>
  <c r="L128" i="1"/>
  <c r="M128" i="1" s="1"/>
  <c r="N128" i="1" s="1"/>
  <c r="L129" i="1"/>
  <c r="M129" i="1" s="1"/>
  <c r="N129" i="1" s="1"/>
  <c r="L130" i="1"/>
  <c r="M130" i="1"/>
  <c r="N130" i="1"/>
  <c r="L131" i="1"/>
  <c r="M131" i="1" s="1"/>
  <c r="N131" i="1" s="1"/>
  <c r="L132" i="1"/>
  <c r="M132" i="1" s="1"/>
  <c r="N132" i="1" s="1"/>
  <c r="L133" i="1"/>
  <c r="M133" i="1"/>
  <c r="N133" i="1" s="1"/>
  <c r="L134" i="1"/>
  <c r="M134" i="1"/>
  <c r="N134" i="1"/>
  <c r="L135" i="1"/>
  <c r="M135" i="1" s="1"/>
  <c r="N135" i="1" s="1"/>
  <c r="L136" i="1"/>
  <c r="M136" i="1"/>
  <c r="N136" i="1" s="1"/>
  <c r="L137" i="1"/>
  <c r="M137" i="1" s="1"/>
  <c r="N137" i="1" s="1"/>
  <c r="L138" i="1"/>
  <c r="M138" i="1" s="1"/>
  <c r="N138" i="1" s="1"/>
  <c r="L139" i="1"/>
  <c r="M139" i="1" s="1"/>
  <c r="N139" i="1" s="1"/>
  <c r="L140" i="1"/>
  <c r="M140" i="1" s="1"/>
  <c r="N140" i="1" s="1"/>
  <c r="L141" i="1"/>
  <c r="M141" i="1"/>
  <c r="N141" i="1" s="1"/>
  <c r="L142" i="1"/>
  <c r="M142" i="1"/>
  <c r="N142" i="1" s="1"/>
  <c r="L143" i="1"/>
  <c r="M143" i="1" s="1"/>
  <c r="N143" i="1" s="1"/>
  <c r="L144" i="1"/>
  <c r="M144" i="1" s="1"/>
  <c r="N144" i="1" s="1"/>
  <c r="L145" i="1"/>
  <c r="M145" i="1"/>
  <c r="N145" i="1" s="1"/>
  <c r="L146" i="1"/>
  <c r="M146" i="1"/>
  <c r="N146" i="1"/>
  <c r="L147" i="1"/>
  <c r="M147" i="1" s="1"/>
  <c r="N147" i="1" s="1"/>
  <c r="L148" i="1"/>
  <c r="M148" i="1"/>
  <c r="N148" i="1" s="1"/>
  <c r="L149" i="1"/>
  <c r="M149" i="1" s="1"/>
  <c r="N149" i="1" s="1"/>
  <c r="L150" i="1"/>
  <c r="M150" i="1"/>
  <c r="N150" i="1"/>
  <c r="L151" i="1"/>
  <c r="M151" i="1"/>
  <c r="N151" i="1" s="1"/>
  <c r="L152" i="1"/>
  <c r="M152" i="1"/>
  <c r="N152" i="1" s="1"/>
  <c r="L153" i="1"/>
  <c r="M153" i="1" s="1"/>
  <c r="N153" i="1" s="1"/>
  <c r="L154" i="1"/>
  <c r="M154" i="1" s="1"/>
  <c r="N154" i="1" s="1"/>
  <c r="L155" i="1"/>
  <c r="M155" i="1" s="1"/>
  <c r="N155" i="1" s="1"/>
  <c r="L156" i="1"/>
  <c r="M156" i="1" s="1"/>
  <c r="N156" i="1" s="1"/>
  <c r="L157" i="1"/>
  <c r="M157" i="1" s="1"/>
  <c r="N157" i="1" s="1"/>
  <c r="L158" i="1"/>
  <c r="M158" i="1"/>
  <c r="N158" i="1" s="1"/>
  <c r="L159" i="1"/>
  <c r="M159" i="1"/>
  <c r="N159" i="1" s="1"/>
  <c r="L160" i="1"/>
  <c r="M160" i="1" s="1"/>
  <c r="N160" i="1" s="1"/>
  <c r="L161" i="1"/>
  <c r="M161" i="1"/>
  <c r="N161" i="1" s="1"/>
  <c r="L162" i="1"/>
  <c r="M162" i="1"/>
  <c r="N162" i="1" s="1"/>
  <c r="L163" i="1"/>
  <c r="M163" i="1" s="1"/>
  <c r="N163" i="1" s="1"/>
  <c r="L164" i="1"/>
  <c r="M164" i="1" s="1"/>
  <c r="N164" i="1" s="1"/>
  <c r="L165" i="1"/>
  <c r="M165" i="1"/>
  <c r="N165" i="1" s="1"/>
  <c r="L166" i="1"/>
  <c r="M166" i="1"/>
  <c r="N166" i="1" s="1"/>
  <c r="L167" i="1"/>
  <c r="M167" i="1" s="1"/>
  <c r="N167" i="1" s="1"/>
  <c r="L168" i="1"/>
  <c r="M168" i="1"/>
  <c r="N168" i="1" s="1"/>
  <c r="L169" i="1"/>
  <c r="M169" i="1" s="1"/>
  <c r="N169" i="1" s="1"/>
  <c r="L170" i="1"/>
  <c r="M170" i="1" s="1"/>
  <c r="N170" i="1" s="1"/>
  <c r="L171" i="1"/>
  <c r="M171" i="1"/>
  <c r="N171" i="1" s="1"/>
  <c r="L172" i="1"/>
  <c r="M172" i="1" s="1"/>
  <c r="N172" i="1" s="1"/>
  <c r="L173" i="1"/>
  <c r="M173" i="1"/>
  <c r="N173" i="1"/>
  <c r="L174" i="1"/>
  <c r="M174" i="1" s="1"/>
  <c r="N174" i="1" s="1"/>
  <c r="L175" i="1"/>
  <c r="M175" i="1" s="1"/>
  <c r="N175" i="1" s="1"/>
  <c r="L176" i="1"/>
  <c r="M176" i="1" s="1"/>
  <c r="N176" i="1" s="1"/>
  <c r="L177" i="1"/>
  <c r="M177" i="1"/>
  <c r="N177" i="1" s="1"/>
  <c r="L178" i="1"/>
  <c r="M178" i="1" s="1"/>
  <c r="N178" i="1" s="1"/>
  <c r="L179" i="1"/>
  <c r="M179" i="1" s="1"/>
  <c r="N179" i="1" s="1"/>
  <c r="L180" i="1"/>
  <c r="M180" i="1"/>
  <c r="N180" i="1" s="1"/>
  <c r="L181" i="1"/>
  <c r="M181" i="1"/>
  <c r="N181" i="1" s="1"/>
  <c r="L182" i="1"/>
  <c r="M182" i="1" s="1"/>
  <c r="N182" i="1" s="1"/>
  <c r="L183" i="1"/>
  <c r="M183" i="1"/>
  <c r="N183" i="1"/>
  <c r="L184" i="1"/>
  <c r="M184" i="1"/>
  <c r="N184" i="1" s="1"/>
  <c r="L185" i="1"/>
  <c r="M185" i="1" s="1"/>
  <c r="N185" i="1" s="1"/>
  <c r="L186" i="1"/>
  <c r="M186" i="1" s="1"/>
  <c r="N186" i="1" s="1"/>
  <c r="L187" i="1"/>
  <c r="M187" i="1" s="1"/>
  <c r="N187" i="1" s="1"/>
  <c r="L188" i="1"/>
  <c r="M188" i="1" s="1"/>
  <c r="N188" i="1" s="1"/>
  <c r="L189" i="1"/>
  <c r="M189" i="1"/>
  <c r="N189" i="1"/>
  <c r="L190" i="1"/>
  <c r="M190" i="1"/>
  <c r="N190" i="1" s="1"/>
  <c r="L191" i="1"/>
  <c r="M191" i="1"/>
  <c r="N191" i="1" s="1"/>
  <c r="L192" i="1"/>
  <c r="M192" i="1" s="1"/>
  <c r="N192" i="1" s="1"/>
  <c r="L193" i="1"/>
  <c r="M193" i="1"/>
  <c r="N193" i="1" s="1"/>
  <c r="L194" i="1"/>
  <c r="M194" i="1" s="1"/>
  <c r="N194" i="1" s="1"/>
  <c r="L195" i="1"/>
  <c r="M195" i="1" s="1"/>
  <c r="N195" i="1" s="1"/>
  <c r="L196" i="1"/>
  <c r="M196" i="1" s="1"/>
  <c r="N196" i="1" s="1"/>
  <c r="L197" i="1"/>
  <c r="M197" i="1"/>
  <c r="N197" i="1" s="1"/>
  <c r="L198" i="1"/>
  <c r="M198" i="1"/>
  <c r="N198" i="1" s="1"/>
  <c r="L199" i="1"/>
  <c r="M199" i="1"/>
  <c r="N199" i="1"/>
  <c r="L200" i="1"/>
  <c r="M200" i="1" s="1"/>
  <c r="N200" i="1" s="1"/>
  <c r="L201" i="1"/>
  <c r="M201" i="1" s="1"/>
  <c r="N201" i="1" s="1"/>
  <c r="L202" i="1"/>
  <c r="M202" i="1" s="1"/>
  <c r="N202" i="1" s="1"/>
  <c r="L203" i="1"/>
  <c r="M203" i="1"/>
  <c r="N203" i="1" s="1"/>
  <c r="L10" i="1"/>
  <c r="Q10" i="1"/>
  <c r="L12" i="1"/>
  <c r="Q13" i="1"/>
  <c r="Q12" i="1"/>
  <c r="Q11" i="1"/>
  <c r="Q9" i="1"/>
  <c r="L13" i="1"/>
  <c r="L11" i="1"/>
  <c r="L9" i="1"/>
  <c r="M9" i="1" s="1"/>
  <c r="A1" i="3"/>
  <c r="A2" i="3"/>
  <c r="D6" i="2"/>
  <c r="E6" i="1"/>
  <c r="E7" i="1"/>
  <c r="E8" i="1"/>
  <c r="E9" i="1"/>
  <c r="E10" i="1"/>
  <c r="E11" i="1" l="1"/>
  <c r="F11" i="1" s="1"/>
  <c r="F6" i="1" l="1"/>
  <c r="F8" i="1"/>
  <c r="F10" i="1"/>
  <c r="F7" i="1"/>
  <c r="F9" i="1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7" i="2"/>
  <c r="B8" i="2" s="1"/>
  <c r="F6" i="2"/>
  <c r="H7" i="1" l="1"/>
  <c r="H8" i="1" s="1"/>
  <c r="E14" i="1"/>
  <c r="E15" i="1" s="1"/>
  <c r="E24" i="2"/>
  <c r="E44" i="2"/>
  <c r="E64" i="2"/>
  <c r="E84" i="2"/>
  <c r="E104" i="2"/>
  <c r="E93" i="2"/>
  <c r="E75" i="2"/>
  <c r="E37" i="2"/>
  <c r="E80" i="2"/>
  <c r="E82" i="2"/>
  <c r="E25" i="2"/>
  <c r="E45" i="2"/>
  <c r="E65" i="2"/>
  <c r="E85" i="2"/>
  <c r="E105" i="2"/>
  <c r="E73" i="2"/>
  <c r="E55" i="2"/>
  <c r="E77" i="2"/>
  <c r="E59" i="2"/>
  <c r="E61" i="2"/>
  <c r="E102" i="2"/>
  <c r="E26" i="2"/>
  <c r="E46" i="2"/>
  <c r="E66" i="2"/>
  <c r="E86" i="2"/>
  <c r="E6" i="2"/>
  <c r="E33" i="2"/>
  <c r="E36" i="2"/>
  <c r="E98" i="2"/>
  <c r="E60" i="2"/>
  <c r="E101" i="2"/>
  <c r="E63" i="2"/>
  <c r="E7" i="2"/>
  <c r="E27" i="2"/>
  <c r="E47" i="2"/>
  <c r="E67" i="2"/>
  <c r="E87" i="2"/>
  <c r="E92" i="2"/>
  <c r="E35" i="2"/>
  <c r="E79" i="2"/>
  <c r="E81" i="2"/>
  <c r="E23" i="2"/>
  <c r="E8" i="2"/>
  <c r="E28" i="2"/>
  <c r="E48" i="2"/>
  <c r="E68" i="2"/>
  <c r="E88" i="2"/>
  <c r="E72" i="2"/>
  <c r="E74" i="2"/>
  <c r="E56" i="2"/>
  <c r="E20" i="2"/>
  <c r="E83" i="2"/>
  <c r="E9" i="2"/>
  <c r="E29" i="2"/>
  <c r="E49" i="2"/>
  <c r="E69" i="2"/>
  <c r="E89" i="2"/>
  <c r="E51" i="2"/>
  <c r="E94" i="2"/>
  <c r="E57" i="2"/>
  <c r="E40" i="2"/>
  <c r="E62" i="2"/>
  <c r="E10" i="2"/>
  <c r="E30" i="2"/>
  <c r="E50" i="2"/>
  <c r="E70" i="2"/>
  <c r="E90" i="2"/>
  <c r="E71" i="2"/>
  <c r="E54" i="2"/>
  <c r="E96" i="2"/>
  <c r="E38" i="2"/>
  <c r="E21" i="2"/>
  <c r="E11" i="2"/>
  <c r="E31" i="2"/>
  <c r="E91" i="2"/>
  <c r="E95" i="2"/>
  <c r="E78" i="2"/>
  <c r="E99" i="2"/>
  <c r="E100" i="2"/>
  <c r="E42" i="2"/>
  <c r="E12" i="2"/>
  <c r="E32" i="2"/>
  <c r="E52" i="2"/>
  <c r="E34" i="2"/>
  <c r="E97" i="2"/>
  <c r="E39" i="2"/>
  <c r="E22" i="2"/>
  <c r="E13" i="2"/>
  <c r="E53" i="2"/>
  <c r="E76" i="2"/>
  <c r="E58" i="2"/>
  <c r="E41" i="2"/>
  <c r="E43" i="2"/>
  <c r="E14" i="2"/>
  <c r="E103" i="2"/>
  <c r="E15" i="2"/>
  <c r="E16" i="2"/>
  <c r="E17" i="2"/>
  <c r="E18" i="2"/>
  <c r="E19" i="2"/>
  <c r="B9" i="2"/>
  <c r="F8" i="2"/>
  <c r="F7" i="2"/>
  <c r="R9" i="1" l="1"/>
  <c r="R13" i="1"/>
  <c r="S13" i="1" s="1"/>
  <c r="W9" i="1"/>
  <c r="W10" i="1"/>
  <c r="X10" i="1" s="1"/>
  <c r="W11" i="1"/>
  <c r="X11" i="1" s="1"/>
  <c r="R11" i="1"/>
  <c r="S11" i="1" s="1"/>
  <c r="R12" i="1"/>
  <c r="S12" i="1" s="1"/>
  <c r="M10" i="1"/>
  <c r="N10" i="1" s="1"/>
  <c r="H9" i="1"/>
  <c r="H10" i="1" s="1"/>
  <c r="H11" i="1" s="1"/>
  <c r="M11" i="1"/>
  <c r="N11" i="1" s="1"/>
  <c r="B10" i="2"/>
  <c r="F9" i="2"/>
  <c r="M12" i="1" l="1"/>
  <c r="N12" i="1" s="1"/>
  <c r="M13" i="1"/>
  <c r="N13" i="1" s="1"/>
  <c r="W13" i="1"/>
  <c r="X13" i="1" s="1"/>
  <c r="S9" i="1"/>
  <c r="X9" i="1"/>
  <c r="R10" i="1"/>
  <c r="S10" i="1" s="1"/>
  <c r="W12" i="1"/>
  <c r="X12" i="1" s="1"/>
  <c r="B11" i="2"/>
  <c r="F10" i="2"/>
  <c r="N9" i="1" l="1"/>
  <c r="M3" i="1"/>
  <c r="M4" i="1" s="1"/>
  <c r="W3" i="1"/>
  <c r="W4" i="1" s="1"/>
  <c r="R3" i="1"/>
  <c r="R4" i="1" s="1"/>
  <c r="B12" i="2"/>
  <c r="F11" i="2"/>
  <c r="AA4" i="1" l="1"/>
  <c r="B13" i="2"/>
  <c r="F12" i="2"/>
  <c r="B14" i="2" l="1"/>
  <c r="F13" i="2"/>
  <c r="B15" i="2" l="1"/>
  <c r="F14" i="2"/>
  <c r="B16" i="2" l="1"/>
  <c r="F15" i="2"/>
  <c r="B17" i="2" l="1"/>
  <c r="F16" i="2"/>
  <c r="B18" i="2" l="1"/>
  <c r="F17" i="2"/>
  <c r="B19" i="2" l="1"/>
  <c r="F18" i="2"/>
  <c r="B20" i="2" l="1"/>
  <c r="F19" i="2"/>
  <c r="B21" i="2" l="1"/>
  <c r="F20" i="2"/>
  <c r="B22" i="2" l="1"/>
  <c r="F21" i="2"/>
  <c r="B23" i="2" l="1"/>
  <c r="F22" i="2"/>
  <c r="B24" i="2" l="1"/>
  <c r="F23" i="2"/>
  <c r="B25" i="2" l="1"/>
  <c r="F24" i="2"/>
  <c r="B26" i="2" l="1"/>
  <c r="F25" i="2"/>
  <c r="B27" i="2" l="1"/>
  <c r="F26" i="2"/>
  <c r="B28" i="2" l="1"/>
  <c r="F27" i="2"/>
  <c r="B29" i="2" l="1"/>
  <c r="F28" i="2"/>
  <c r="B30" i="2" l="1"/>
  <c r="F29" i="2"/>
  <c r="B31" i="2" l="1"/>
  <c r="F30" i="2"/>
  <c r="B32" i="2" l="1"/>
  <c r="F31" i="2"/>
  <c r="B33" i="2" l="1"/>
  <c r="F32" i="2"/>
  <c r="B34" i="2" l="1"/>
  <c r="F33" i="2"/>
  <c r="B35" i="2" l="1"/>
  <c r="F34" i="2"/>
  <c r="B36" i="2" l="1"/>
  <c r="F35" i="2"/>
  <c r="B37" i="2" l="1"/>
  <c r="F36" i="2"/>
  <c r="B38" i="2" l="1"/>
  <c r="F37" i="2"/>
  <c r="B39" i="2" l="1"/>
  <c r="F38" i="2"/>
  <c r="B40" i="2" l="1"/>
  <c r="F39" i="2"/>
  <c r="B41" i="2" l="1"/>
  <c r="F40" i="2"/>
  <c r="B42" i="2" l="1"/>
  <c r="F41" i="2"/>
  <c r="B43" i="2" l="1"/>
  <c r="F42" i="2"/>
  <c r="B44" i="2" l="1"/>
  <c r="F43" i="2"/>
  <c r="B45" i="2" l="1"/>
  <c r="F44" i="2"/>
  <c r="B46" i="2" l="1"/>
  <c r="F45" i="2"/>
  <c r="B47" i="2" l="1"/>
  <c r="F46" i="2"/>
  <c r="B48" i="2" l="1"/>
  <c r="F47" i="2"/>
  <c r="B49" i="2" l="1"/>
  <c r="F48" i="2"/>
  <c r="B50" i="2" l="1"/>
  <c r="F49" i="2"/>
  <c r="B51" i="2" l="1"/>
  <c r="F50" i="2"/>
  <c r="B52" i="2" l="1"/>
  <c r="F51" i="2"/>
  <c r="B53" i="2" l="1"/>
  <c r="F52" i="2"/>
  <c r="B54" i="2" l="1"/>
  <c r="F53" i="2"/>
  <c r="B55" i="2" l="1"/>
  <c r="F54" i="2"/>
  <c r="B56" i="2" l="1"/>
  <c r="F55" i="2"/>
  <c r="B57" i="2" l="1"/>
  <c r="F56" i="2"/>
  <c r="B58" i="2" l="1"/>
  <c r="F57" i="2"/>
  <c r="B59" i="2" l="1"/>
  <c r="F58" i="2"/>
  <c r="B60" i="2" l="1"/>
  <c r="F59" i="2"/>
  <c r="B61" i="2" l="1"/>
  <c r="F60" i="2"/>
  <c r="B62" i="2" l="1"/>
  <c r="F61" i="2"/>
  <c r="B63" i="2" l="1"/>
  <c r="F62" i="2"/>
  <c r="B64" i="2" l="1"/>
  <c r="F63" i="2"/>
  <c r="B65" i="2" l="1"/>
  <c r="F64" i="2"/>
  <c r="B66" i="2" l="1"/>
  <c r="F65" i="2"/>
  <c r="B67" i="2" l="1"/>
  <c r="F66" i="2"/>
  <c r="B68" i="2" l="1"/>
  <c r="F67" i="2"/>
  <c r="B69" i="2" l="1"/>
  <c r="F68" i="2"/>
  <c r="B70" i="2" l="1"/>
  <c r="F69" i="2"/>
  <c r="B71" i="2" l="1"/>
  <c r="F70" i="2"/>
  <c r="B72" i="2" l="1"/>
  <c r="F71" i="2"/>
  <c r="B73" i="2" l="1"/>
  <c r="F72" i="2"/>
  <c r="B74" i="2" l="1"/>
  <c r="F73" i="2"/>
  <c r="B75" i="2" l="1"/>
  <c r="F74" i="2"/>
  <c r="B76" i="2" l="1"/>
  <c r="F75" i="2"/>
  <c r="B77" i="2" l="1"/>
  <c r="F76" i="2"/>
  <c r="B78" i="2" l="1"/>
  <c r="F77" i="2"/>
  <c r="B79" i="2" l="1"/>
  <c r="F78" i="2"/>
  <c r="B80" i="2" l="1"/>
  <c r="F79" i="2"/>
  <c r="B81" i="2" l="1"/>
  <c r="F80" i="2"/>
  <c r="B82" i="2" l="1"/>
  <c r="F81" i="2"/>
  <c r="B83" i="2" l="1"/>
  <c r="F82" i="2"/>
  <c r="B84" i="2" l="1"/>
  <c r="F83" i="2"/>
  <c r="B85" i="2" l="1"/>
  <c r="F84" i="2"/>
  <c r="B86" i="2" l="1"/>
  <c r="F85" i="2"/>
  <c r="B87" i="2" l="1"/>
  <c r="F86" i="2"/>
  <c r="B88" i="2" l="1"/>
  <c r="F87" i="2"/>
  <c r="B89" i="2" l="1"/>
  <c r="F88" i="2"/>
  <c r="B90" i="2" l="1"/>
  <c r="F89" i="2"/>
  <c r="B91" i="2" l="1"/>
  <c r="F90" i="2"/>
  <c r="B92" i="2" l="1"/>
  <c r="F91" i="2"/>
  <c r="B93" i="2" l="1"/>
  <c r="F92" i="2"/>
  <c r="B94" i="2" l="1"/>
  <c r="F93" i="2"/>
  <c r="B95" i="2" l="1"/>
  <c r="F94" i="2"/>
  <c r="B96" i="2" l="1"/>
  <c r="F95" i="2"/>
  <c r="B97" i="2" l="1"/>
  <c r="F96" i="2"/>
  <c r="B98" i="2" l="1"/>
  <c r="F97" i="2"/>
  <c r="B99" i="2" l="1"/>
  <c r="F98" i="2"/>
  <c r="B100" i="2" l="1"/>
  <c r="F99" i="2"/>
  <c r="B101" i="2" l="1"/>
  <c r="F100" i="2"/>
  <c r="B102" i="2" l="1"/>
  <c r="F101" i="2"/>
  <c r="B103" i="2" l="1"/>
  <c r="F102" i="2"/>
  <c r="B104" i="2" l="1"/>
  <c r="F103" i="2"/>
  <c r="B105" i="2" l="1"/>
  <c r="F105" i="2" s="1"/>
  <c r="F104" i="2"/>
</calcChain>
</file>

<file path=xl/sharedStrings.xml><?xml version="1.0" encoding="utf-8"?>
<sst xmlns="http://schemas.openxmlformats.org/spreadsheetml/2006/main" count="55" uniqueCount="34">
  <si>
    <t>Demand</t>
  </si>
  <si>
    <t>Week</t>
  </si>
  <si>
    <t>Time (weeks)</t>
  </si>
  <si>
    <t>Between</t>
  </si>
  <si>
    <t xml:space="preserve">Cumulative </t>
  </si>
  <si>
    <t>Breakdowns</t>
  </si>
  <si>
    <t>Breakdowns, x</t>
  </si>
  <si>
    <t>Cost, $</t>
  </si>
  <si>
    <t>PC sales Simulation Example</t>
  </si>
  <si>
    <t>PCs</t>
  </si>
  <si>
    <t>dollars</t>
  </si>
  <si>
    <t>P(X=x)</t>
  </si>
  <si>
    <t>Demand x</t>
  </si>
  <si>
    <t xml:space="preserve"> Machine Breakdown Simulation Example</t>
  </si>
  <si>
    <t>Weekly sale data</t>
  </si>
  <si>
    <t>index</t>
  </si>
  <si>
    <t>demand</t>
  </si>
  <si>
    <t>Count</t>
  </si>
  <si>
    <t>Total</t>
  </si>
  <si>
    <t>PMF</t>
  </si>
  <si>
    <t>CDF</t>
  </si>
  <si>
    <t>RandNum</t>
  </si>
  <si>
    <t>P(X&lt;x)</t>
  </si>
  <si>
    <t>Sales</t>
  </si>
  <si>
    <t>Average Demand =</t>
  </si>
  <si>
    <t>Expected Sales =</t>
  </si>
  <si>
    <t xml:space="preserve">Final estimate = </t>
  </si>
  <si>
    <t>Expected demand =</t>
  </si>
  <si>
    <t xml:space="preserve">Expected sales = </t>
  </si>
  <si>
    <t>Analytical solution</t>
  </si>
  <si>
    <t>Simulation</t>
  </si>
  <si>
    <t>Run 1</t>
  </si>
  <si>
    <t>Run 2</t>
  </si>
  <si>
    <t>Run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</si>
</sst>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_(* #,##0_);_(* \(#,##0\);_(* &quot;-&quot;??_);_(@_)"/>
  </numFmts>
  <fonts count="7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11" xfId="0" applyBorder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7" xfId="0" applyNumberFormat="1" applyFont="1" applyBorder="1" applyAlignment="1">
      <alignment horizontal="center"/>
    </xf>
    <xf numFmtId="165" fontId="3" fillId="0" borderId="8" xfId="1" applyNumberFormat="1" applyFon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3" fillId="0" borderId="2" xfId="0" applyFont="1" applyBorder="1"/>
    <xf numFmtId="0" fontId="0" fillId="0" borderId="10" xfId="0" applyBorder="1"/>
    <xf numFmtId="1" fontId="0" fillId="0" borderId="6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/>
    <xf numFmtId="0" fontId="3" fillId="0" borderId="1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11" xfId="0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5" fillId="0" borderId="0" xfId="0" applyFont="1"/>
    <xf numFmtId="2" fontId="6" fillId="0" borderId="0" xfId="0" applyNumberFormat="1" applyFont="1" applyAlignment="1">
      <alignment horizontal="right"/>
    </xf>
    <xf numFmtId="2" fontId="0" fillId="0" borderId="2" xfId="0" applyNumberFormat="1" applyBorder="1" applyAlignment="1">
      <alignment horizontal="center"/>
    </xf>
    <xf numFmtId="2" fontId="0" fillId="0" borderId="2" xfId="2" applyNumberFormat="1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2886-275D-490B-ACE8-1303390DADFA}">
  <dimension ref="A1:B14"/>
  <sheetViews>
    <sheetView zoomScale="150" zoomScaleNormal="150" workbookViewId="0">
      <selection activeCell="A2" sqref="A2"/>
    </sheetView>
  </sheetViews>
  <sheetFormatPr defaultColWidth="8.85546875" defaultRowHeight="12.75" x14ac:dyDescent="0.2"/>
  <cols>
    <col min="1" max="1" width="11.42578125" bestFit="1" customWidth="1"/>
  </cols>
  <sheetData>
    <row r="1" spans="1:2" x14ac:dyDescent="0.2">
      <c r="A1">
        <f ca="1">RAND()</f>
        <v>0.9095999009377701</v>
      </c>
    </row>
    <row r="2" spans="1:2" x14ac:dyDescent="0.2">
      <c r="A2">
        <f ca="1">RAND()</f>
        <v>0.49114835235660581</v>
      </c>
    </row>
    <row r="10" spans="1:2" x14ac:dyDescent="0.2">
      <c r="B10" s="14"/>
    </row>
    <row r="11" spans="1:2" x14ac:dyDescent="0.2">
      <c r="B11" s="14"/>
    </row>
    <row r="12" spans="1:2" x14ac:dyDescent="0.2">
      <c r="B12" s="14"/>
    </row>
    <row r="13" spans="1:2" x14ac:dyDescent="0.2">
      <c r="B13" s="14"/>
    </row>
    <row r="14" spans="1:2" x14ac:dyDescent="0.2">
      <c r="B1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5537-E177-4A26-ABA7-619F82550BDA}">
  <dimension ref="A1:AA1000"/>
  <sheetViews>
    <sheetView tabSelected="1" topLeftCell="J1" zoomScale="150" zoomScaleNormal="150" workbookViewId="0">
      <selection activeCell="P9" sqref="P9:S203"/>
    </sheetView>
  </sheetViews>
  <sheetFormatPr defaultColWidth="8.85546875" defaultRowHeight="12.75" x14ac:dyDescent="0.2"/>
  <cols>
    <col min="1" max="2" width="8.140625" customWidth="1"/>
    <col min="3" max="3" width="10.85546875" customWidth="1"/>
    <col min="4" max="4" width="9.7109375" customWidth="1"/>
    <col min="5" max="5" width="7.85546875" customWidth="1"/>
    <col min="6" max="6" width="9.28515625" customWidth="1"/>
    <col min="7" max="7" width="4" customWidth="1"/>
    <col min="8" max="8" width="9.85546875" customWidth="1"/>
    <col min="9" max="9" width="10.42578125" customWidth="1"/>
    <col min="10" max="10" width="4.7109375" customWidth="1"/>
    <col min="11" max="11" width="6.85546875" customWidth="1"/>
    <col min="12" max="12" width="9.28515625" customWidth="1"/>
    <col min="13" max="13" width="8.28515625" customWidth="1"/>
    <col min="14" max="14" width="8.85546875" customWidth="1"/>
    <col min="15" max="15" width="4.7109375" customWidth="1"/>
    <col min="20" max="20" width="5" customWidth="1"/>
  </cols>
  <sheetData>
    <row r="1" spans="1:27" x14ac:dyDescent="0.2">
      <c r="A1" s="1" t="s">
        <v>8</v>
      </c>
    </row>
    <row r="2" spans="1:27" x14ac:dyDescent="0.2">
      <c r="K2" s="58" t="s">
        <v>30</v>
      </c>
    </row>
    <row r="3" spans="1:27" x14ac:dyDescent="0.2">
      <c r="L3" s="54" t="s">
        <v>24</v>
      </c>
      <c r="M3" s="60">
        <f ca="1">AVERAGE(M9:M1000)</f>
        <v>1.917948717948718</v>
      </c>
      <c r="N3" s="14" t="s">
        <v>9</v>
      </c>
      <c r="O3" s="14"/>
      <c r="Q3" s="54" t="s">
        <v>24</v>
      </c>
      <c r="R3" s="60">
        <f ca="1">AVERAGE(R9:R1000)</f>
        <v>1.6820512820512821</v>
      </c>
      <c r="S3" s="14" t="s">
        <v>9</v>
      </c>
      <c r="V3" s="54" t="s">
        <v>24</v>
      </c>
      <c r="W3" s="60">
        <f>AVERAGE(W9:W1000)</f>
        <v>0</v>
      </c>
      <c r="X3" s="14" t="s">
        <v>9</v>
      </c>
    </row>
    <row r="4" spans="1:27" x14ac:dyDescent="0.2">
      <c r="A4" s="2" t="s">
        <v>14</v>
      </c>
      <c r="F4" s="2" t="s">
        <v>19</v>
      </c>
      <c r="H4" s="2" t="s">
        <v>20</v>
      </c>
      <c r="L4" s="54" t="s">
        <v>25</v>
      </c>
      <c r="M4" s="61">
        <f ca="1">M3*100</f>
        <v>191.7948717948718</v>
      </c>
      <c r="N4" s="14" t="s">
        <v>10</v>
      </c>
      <c r="O4" s="14"/>
      <c r="Q4" s="54" t="s">
        <v>25</v>
      </c>
      <c r="R4" s="61">
        <f ca="1">R3*100</f>
        <v>168.2051282051282</v>
      </c>
      <c r="S4" s="14" t="s">
        <v>10</v>
      </c>
      <c r="V4" s="54" t="s">
        <v>25</v>
      </c>
      <c r="W4" s="61">
        <f>W3*100</f>
        <v>0</v>
      </c>
      <c r="X4" s="14" t="s">
        <v>10</v>
      </c>
      <c r="Z4" s="55" t="s">
        <v>26</v>
      </c>
      <c r="AA4" s="56">
        <f ca="1">AVERAGE(M4,R4,W4)</f>
        <v>120</v>
      </c>
    </row>
    <row r="5" spans="1:27" x14ac:dyDescent="0.2">
      <c r="A5" s="29" t="s">
        <v>15</v>
      </c>
      <c r="B5" s="28" t="s">
        <v>16</v>
      </c>
      <c r="D5" s="15" t="s">
        <v>12</v>
      </c>
      <c r="E5" s="17" t="s">
        <v>17</v>
      </c>
      <c r="F5" s="16" t="s">
        <v>11</v>
      </c>
      <c r="H5" s="17" t="s">
        <v>22</v>
      </c>
      <c r="I5" s="17" t="s">
        <v>12</v>
      </c>
    </row>
    <row r="6" spans="1:27" x14ac:dyDescent="0.2">
      <c r="A6" s="10">
        <v>1</v>
      </c>
      <c r="B6" s="11">
        <v>1</v>
      </c>
      <c r="D6" s="31">
        <v>0</v>
      </c>
      <c r="E6" s="37">
        <f>COUNTIF($B$6:$B$25,D6)</f>
        <v>2</v>
      </c>
      <c r="F6" s="38">
        <f t="shared" ref="F6:F11" si="0">E6/$E$11</f>
        <v>0.1</v>
      </c>
      <c r="G6" s="26"/>
      <c r="H6" s="6">
        <v>0</v>
      </c>
      <c r="I6" s="35">
        <v>0</v>
      </c>
    </row>
    <row r="7" spans="1:27" x14ac:dyDescent="0.2">
      <c r="A7" s="12">
        <v>2</v>
      </c>
      <c r="B7" s="13">
        <v>2</v>
      </c>
      <c r="D7" s="31">
        <v>1</v>
      </c>
      <c r="E7" s="37">
        <f>COUNTIF($B$6:$B$25,D7)</f>
        <v>8</v>
      </c>
      <c r="F7" s="38">
        <f t="shared" si="0"/>
        <v>0.4</v>
      </c>
      <c r="G7" s="8"/>
      <c r="H7" s="22">
        <f>F6+H6</f>
        <v>0.1</v>
      </c>
      <c r="I7" s="33">
        <v>1</v>
      </c>
      <c r="K7" s="2" t="s">
        <v>31</v>
      </c>
      <c r="P7" s="2" t="s">
        <v>32</v>
      </c>
      <c r="U7" s="2" t="s">
        <v>33</v>
      </c>
    </row>
    <row r="8" spans="1:27" x14ac:dyDescent="0.2">
      <c r="A8" s="12">
        <v>3</v>
      </c>
      <c r="B8" s="13">
        <v>2</v>
      </c>
      <c r="D8" s="31">
        <v>2</v>
      </c>
      <c r="E8" s="37">
        <f>COUNTIF($B$6:$B$25,D8)</f>
        <v>5</v>
      </c>
      <c r="F8" s="38">
        <f t="shared" si="0"/>
        <v>0.25</v>
      </c>
      <c r="G8" s="8"/>
      <c r="H8" s="22">
        <f t="shared" ref="H8:H11" si="1">F7+H7</f>
        <v>0.5</v>
      </c>
      <c r="I8" s="33">
        <v>2</v>
      </c>
      <c r="K8" s="3" t="s">
        <v>1</v>
      </c>
      <c r="L8" s="17" t="s">
        <v>21</v>
      </c>
      <c r="M8" s="4" t="s">
        <v>0</v>
      </c>
      <c r="N8" s="36" t="s">
        <v>23</v>
      </c>
      <c r="P8" s="3" t="s">
        <v>1</v>
      </c>
      <c r="Q8" s="17" t="s">
        <v>21</v>
      </c>
      <c r="R8" s="4" t="s">
        <v>0</v>
      </c>
      <c r="S8" s="36" t="s">
        <v>23</v>
      </c>
      <c r="U8" s="3" t="s">
        <v>1</v>
      </c>
      <c r="V8" s="17" t="s">
        <v>21</v>
      </c>
      <c r="W8" s="4" t="s">
        <v>0</v>
      </c>
      <c r="X8" s="36" t="s">
        <v>23</v>
      </c>
    </row>
    <row r="9" spans="1:27" x14ac:dyDescent="0.2">
      <c r="A9" s="12">
        <v>4</v>
      </c>
      <c r="B9" s="13">
        <v>2</v>
      </c>
      <c r="D9" s="31">
        <v>3</v>
      </c>
      <c r="E9" s="37">
        <f>COUNTIF($B$6:$B$25,D9)</f>
        <v>3</v>
      </c>
      <c r="F9" s="38">
        <f t="shared" si="0"/>
        <v>0.15</v>
      </c>
      <c r="G9" s="8"/>
      <c r="H9" s="22">
        <f t="shared" si="1"/>
        <v>0.75</v>
      </c>
      <c r="I9" s="33">
        <v>3</v>
      </c>
      <c r="K9" s="5">
        <v>1</v>
      </c>
      <c r="L9" s="20">
        <f ca="1">RAND()</f>
        <v>0.77632688073820788</v>
      </c>
      <c r="M9" s="25">
        <f ca="1">VLOOKUP(L9,$H$6:$I$10,2)</f>
        <v>3</v>
      </c>
      <c r="N9" s="12">
        <f ca="1">M9*100</f>
        <v>300</v>
      </c>
      <c r="P9" s="5">
        <v>1</v>
      </c>
      <c r="Q9" s="20">
        <f ca="1">RAND()</f>
        <v>0.39450473344193915</v>
      </c>
      <c r="R9" s="25">
        <f ca="1">VLOOKUP(Q9,$H$6:$I$10,2)</f>
        <v>1</v>
      </c>
      <c r="S9" s="12">
        <f ca="1">R9*100</f>
        <v>100</v>
      </c>
      <c r="U9" s="5">
        <v>1</v>
      </c>
      <c r="V9" s="20"/>
      <c r="W9" s="25">
        <f>VLOOKUP(V9,$H$6:$I$10,2)</f>
        <v>0</v>
      </c>
      <c r="X9" s="12">
        <f>W9*100</f>
        <v>0</v>
      </c>
    </row>
    <row r="10" spans="1:27" x14ac:dyDescent="0.2">
      <c r="A10" s="12">
        <v>5</v>
      </c>
      <c r="B10" s="13">
        <v>4</v>
      </c>
      <c r="D10" s="31">
        <v>4</v>
      </c>
      <c r="E10" s="37">
        <f>COUNTIF($B$6:$B$25,D10)</f>
        <v>2</v>
      </c>
      <c r="F10" s="38">
        <f t="shared" si="0"/>
        <v>0.1</v>
      </c>
      <c r="G10" s="8"/>
      <c r="H10" s="22">
        <f t="shared" si="1"/>
        <v>0.9</v>
      </c>
      <c r="I10" s="24">
        <v>4</v>
      </c>
      <c r="K10" s="5">
        <v>2</v>
      </c>
      <c r="L10" s="20">
        <f ca="1">RAND()</f>
        <v>0.67305331224843434</v>
      </c>
      <c r="M10" s="25">
        <f ca="1">VLOOKUP(L10,$H$6:$I$10,2)</f>
        <v>2</v>
      </c>
      <c r="N10" s="12">
        <f ca="1">M10*100</f>
        <v>200</v>
      </c>
      <c r="P10" s="5">
        <v>2</v>
      </c>
      <c r="Q10" s="20">
        <f ca="1">RAND()</f>
        <v>0.58077437027926593</v>
      </c>
      <c r="R10" s="25">
        <f ca="1">VLOOKUP(Q10,$H$6:$I$10,2)</f>
        <v>2</v>
      </c>
      <c r="S10" s="12">
        <f ca="1">R10*100</f>
        <v>200</v>
      </c>
      <c r="U10" s="5">
        <v>2</v>
      </c>
      <c r="V10" s="20"/>
      <c r="W10" s="25">
        <f>VLOOKUP(V10,$H$6:$I$10,2)</f>
        <v>0</v>
      </c>
      <c r="X10" s="12">
        <f>W10*100</f>
        <v>0</v>
      </c>
    </row>
    <row r="11" spans="1:27" x14ac:dyDescent="0.2">
      <c r="A11" s="12">
        <v>6</v>
      </c>
      <c r="B11" s="13">
        <v>0</v>
      </c>
      <c r="D11" s="27" t="s">
        <v>18</v>
      </c>
      <c r="E11" s="34">
        <f>SUM(E6:E10)</f>
        <v>20</v>
      </c>
      <c r="F11" s="32">
        <f t="shared" si="0"/>
        <v>1</v>
      </c>
      <c r="G11" s="8"/>
      <c r="H11" s="51">
        <f t="shared" si="1"/>
        <v>1</v>
      </c>
      <c r="K11" s="5">
        <v>3</v>
      </c>
      <c r="L11" s="20">
        <f ca="1">RAND()</f>
        <v>0.23529087699798945</v>
      </c>
      <c r="M11" s="25">
        <f ca="1">VLOOKUP(L11,$H$6:$I$10,2)</f>
        <v>1</v>
      </c>
      <c r="N11" s="12">
        <f ca="1">M11*100</f>
        <v>100</v>
      </c>
      <c r="P11" s="5">
        <v>3</v>
      </c>
      <c r="Q11" s="20">
        <f ca="1">RAND()</f>
        <v>4.8631692053787479E-2</v>
      </c>
      <c r="R11" s="25">
        <f ca="1">VLOOKUP(Q11,$H$6:$I$10,2)</f>
        <v>0</v>
      </c>
      <c r="S11" s="12">
        <f ca="1">R11*100</f>
        <v>0</v>
      </c>
      <c r="U11" s="5">
        <v>3</v>
      </c>
      <c r="V11" s="20"/>
      <c r="W11" s="25">
        <f>VLOOKUP(V11,$H$6:$I$10,2)</f>
        <v>0</v>
      </c>
      <c r="X11" s="12">
        <f>W11*100</f>
        <v>0</v>
      </c>
    </row>
    <row r="12" spans="1:27" x14ac:dyDescent="0.2">
      <c r="A12" s="12">
        <v>7</v>
      </c>
      <c r="B12" s="13">
        <v>1</v>
      </c>
      <c r="G12" s="8"/>
      <c r="K12" s="5">
        <v>4</v>
      </c>
      <c r="L12" s="20">
        <f ca="1">RAND()</f>
        <v>0.48453385692360562</v>
      </c>
      <c r="M12" s="25">
        <f ca="1">VLOOKUP(L12,$H$6:$I$10,2)</f>
        <v>1</v>
      </c>
      <c r="N12" s="12">
        <f ca="1">M12*100</f>
        <v>100</v>
      </c>
      <c r="P12" s="5">
        <v>4</v>
      </c>
      <c r="Q12" s="20">
        <f ca="1">RAND()</f>
        <v>0.9729922415013641</v>
      </c>
      <c r="R12" s="25">
        <f ca="1">VLOOKUP(Q12,$H$6:$I$10,2)</f>
        <v>4</v>
      </c>
      <c r="S12" s="12">
        <f ca="1">R12*100</f>
        <v>400</v>
      </c>
      <c r="U12" s="5">
        <v>4</v>
      </c>
      <c r="V12" s="20"/>
      <c r="W12" s="25">
        <f>VLOOKUP(V12,$H$6:$I$10,2)</f>
        <v>0</v>
      </c>
      <c r="X12" s="12">
        <f>W12*100</f>
        <v>0</v>
      </c>
    </row>
    <row r="13" spans="1:27" x14ac:dyDescent="0.2">
      <c r="A13" s="12">
        <v>8</v>
      </c>
      <c r="B13" s="13">
        <v>2</v>
      </c>
      <c r="D13" s="59" t="s">
        <v>29</v>
      </c>
      <c r="K13" s="5">
        <v>5</v>
      </c>
      <c r="L13" s="20">
        <f ca="1">RAND()</f>
        <v>0.14456514819712396</v>
      </c>
      <c r="M13" s="25">
        <f ca="1">VLOOKUP(L13,$H$6:$I$10,2)</f>
        <v>1</v>
      </c>
      <c r="N13" s="12">
        <f ca="1">M13*100</f>
        <v>100</v>
      </c>
      <c r="P13" s="5">
        <v>5</v>
      </c>
      <c r="Q13" s="20">
        <f ca="1">RAND()</f>
        <v>0.88707791004373504</v>
      </c>
      <c r="R13" s="25">
        <f ca="1">VLOOKUP(Q13,$H$6:$I$10,2)</f>
        <v>3</v>
      </c>
      <c r="S13" s="12">
        <f ca="1">R13*100</f>
        <v>300</v>
      </c>
      <c r="U13" s="5">
        <v>5</v>
      </c>
      <c r="V13" s="20"/>
      <c r="W13" s="25">
        <f>VLOOKUP(V13,$H$6:$I$10,2)</f>
        <v>0</v>
      </c>
      <c r="X13" s="12">
        <f>W13*100</f>
        <v>0</v>
      </c>
    </row>
    <row r="14" spans="1:27" x14ac:dyDescent="0.2">
      <c r="A14" s="12">
        <v>9</v>
      </c>
      <c r="B14" s="13">
        <v>1</v>
      </c>
      <c r="D14" s="55" t="s">
        <v>27</v>
      </c>
      <c r="E14" s="9">
        <f>SUMPRODUCT(D6:D10,F6:F10)</f>
        <v>1.75</v>
      </c>
      <c r="F14" s="14" t="s">
        <v>9</v>
      </c>
      <c r="K14" s="5">
        <v>6</v>
      </c>
      <c r="L14" s="20">
        <f t="shared" ref="L14:L77" ca="1" si="2">RAND()</f>
        <v>0.22173806507045468</v>
      </c>
      <c r="M14" s="25">
        <f t="shared" ref="M14:M77" ca="1" si="3">VLOOKUP(L14,$H$6:$I$10,2)</f>
        <v>1</v>
      </c>
      <c r="N14" s="12">
        <f t="shared" ref="N14:N77" ca="1" si="4">M14*100</f>
        <v>100</v>
      </c>
      <c r="P14" s="5">
        <v>6</v>
      </c>
      <c r="Q14" s="20">
        <f t="shared" ref="Q14:Q77" ca="1" si="5">RAND()</f>
        <v>0.17412191560843782</v>
      </c>
      <c r="R14" s="25">
        <f t="shared" ref="R14:R77" ca="1" si="6">VLOOKUP(Q14,$H$6:$I$10,2)</f>
        <v>1</v>
      </c>
      <c r="S14" s="12">
        <f t="shared" ref="S14:S77" ca="1" si="7">R14*100</f>
        <v>100</v>
      </c>
    </row>
    <row r="15" spans="1:27" x14ac:dyDescent="0.2">
      <c r="A15" s="12">
        <v>10</v>
      </c>
      <c r="B15" s="13">
        <v>1</v>
      </c>
      <c r="D15" s="57" t="s">
        <v>28</v>
      </c>
      <c r="E15" s="8">
        <f>E14*100</f>
        <v>175</v>
      </c>
      <c r="F15" s="14" t="s">
        <v>10</v>
      </c>
      <c r="G15" s="9"/>
      <c r="H15" s="9"/>
      <c r="K15" s="5">
        <v>7</v>
      </c>
      <c r="L15" s="20">
        <f t="shared" ca="1" si="2"/>
        <v>0.36675329596914019</v>
      </c>
      <c r="M15" s="25">
        <f t="shared" ca="1" si="3"/>
        <v>1</v>
      </c>
      <c r="N15" s="12">
        <f t="shared" ca="1" si="4"/>
        <v>100</v>
      </c>
      <c r="P15" s="5">
        <v>7</v>
      </c>
      <c r="Q15" s="20">
        <f t="shared" ca="1" si="5"/>
        <v>0.38063174142365253</v>
      </c>
      <c r="R15" s="25">
        <f t="shared" ca="1" si="6"/>
        <v>1</v>
      </c>
      <c r="S15" s="12">
        <f t="shared" ca="1" si="7"/>
        <v>100</v>
      </c>
    </row>
    <row r="16" spans="1:27" x14ac:dyDescent="0.2">
      <c r="A16" s="12">
        <v>11</v>
      </c>
      <c r="B16" s="13">
        <v>4</v>
      </c>
      <c r="E16" s="9"/>
      <c r="F16" s="9"/>
      <c r="G16" s="9"/>
      <c r="H16" s="9"/>
      <c r="K16" s="5">
        <v>8</v>
      </c>
      <c r="L16" s="20">
        <f t="shared" ca="1" si="2"/>
        <v>0.38453599795614501</v>
      </c>
      <c r="M16" s="25">
        <f t="shared" ca="1" si="3"/>
        <v>1</v>
      </c>
      <c r="N16" s="12">
        <f t="shared" ca="1" si="4"/>
        <v>100</v>
      </c>
      <c r="P16" s="5">
        <v>8</v>
      </c>
      <c r="Q16" s="20">
        <f t="shared" ca="1" si="5"/>
        <v>0.71065343324817332</v>
      </c>
      <c r="R16" s="25">
        <f t="shared" ca="1" si="6"/>
        <v>2</v>
      </c>
      <c r="S16" s="12">
        <f t="shared" ca="1" si="7"/>
        <v>200</v>
      </c>
    </row>
    <row r="17" spans="1:19" x14ac:dyDescent="0.2">
      <c r="A17" s="12">
        <v>12</v>
      </c>
      <c r="B17" s="13">
        <v>2</v>
      </c>
      <c r="E17" s="9"/>
      <c r="F17" s="9"/>
      <c r="G17" s="9"/>
      <c r="H17" s="9"/>
      <c r="K17" s="5">
        <v>9</v>
      </c>
      <c r="L17" s="20">
        <f t="shared" ca="1" si="2"/>
        <v>8.2472750263449246E-3</v>
      </c>
      <c r="M17" s="25">
        <f t="shared" ca="1" si="3"/>
        <v>0</v>
      </c>
      <c r="N17" s="12">
        <f t="shared" ca="1" si="4"/>
        <v>0</v>
      </c>
      <c r="P17" s="5">
        <v>9</v>
      </c>
      <c r="Q17" s="20">
        <f t="shared" ca="1" si="5"/>
        <v>0.20079976702019231</v>
      </c>
      <c r="R17" s="25">
        <f t="shared" ca="1" si="6"/>
        <v>1</v>
      </c>
      <c r="S17" s="12">
        <f t="shared" ca="1" si="7"/>
        <v>100</v>
      </c>
    </row>
    <row r="18" spans="1:19" x14ac:dyDescent="0.2">
      <c r="A18" s="12">
        <v>13</v>
      </c>
      <c r="B18" s="13">
        <v>3</v>
      </c>
      <c r="E18" s="9"/>
      <c r="F18" s="9"/>
      <c r="G18" s="9"/>
      <c r="H18" s="9"/>
      <c r="K18" s="5">
        <v>10</v>
      </c>
      <c r="L18" s="20">
        <f t="shared" ca="1" si="2"/>
        <v>0.50657640765039869</v>
      </c>
      <c r="M18" s="25">
        <f t="shared" ca="1" si="3"/>
        <v>2</v>
      </c>
      <c r="N18" s="12">
        <f t="shared" ca="1" si="4"/>
        <v>200</v>
      </c>
      <c r="P18" s="5">
        <v>10</v>
      </c>
      <c r="Q18" s="20">
        <f t="shared" ca="1" si="5"/>
        <v>4.7754189486527543E-2</v>
      </c>
      <c r="R18" s="25">
        <f t="shared" ca="1" si="6"/>
        <v>0</v>
      </c>
      <c r="S18" s="12">
        <f t="shared" ca="1" si="7"/>
        <v>0</v>
      </c>
    </row>
    <row r="19" spans="1:19" x14ac:dyDescent="0.2">
      <c r="A19" s="12">
        <v>14</v>
      </c>
      <c r="B19" s="13">
        <v>3</v>
      </c>
      <c r="K19" s="5">
        <v>11</v>
      </c>
      <c r="L19" s="20">
        <f t="shared" ca="1" si="2"/>
        <v>0.63468155946800442</v>
      </c>
      <c r="M19" s="25">
        <f t="shared" ca="1" si="3"/>
        <v>2</v>
      </c>
      <c r="N19" s="12">
        <f t="shared" ca="1" si="4"/>
        <v>200</v>
      </c>
      <c r="P19" s="5">
        <v>11</v>
      </c>
      <c r="Q19" s="20">
        <f t="shared" ca="1" si="5"/>
        <v>0.8218636153516411</v>
      </c>
      <c r="R19" s="25">
        <f t="shared" ca="1" si="6"/>
        <v>3</v>
      </c>
      <c r="S19" s="12">
        <f t="shared" ca="1" si="7"/>
        <v>300</v>
      </c>
    </row>
    <row r="20" spans="1:19" x14ac:dyDescent="0.2">
      <c r="A20" s="12">
        <v>15</v>
      </c>
      <c r="B20" s="13">
        <v>0</v>
      </c>
      <c r="K20" s="5">
        <v>12</v>
      </c>
      <c r="L20" s="20">
        <f t="shared" ca="1" si="2"/>
        <v>0.97749801294533556</v>
      </c>
      <c r="M20" s="25">
        <f t="shared" ca="1" si="3"/>
        <v>4</v>
      </c>
      <c r="N20" s="12">
        <f t="shared" ca="1" si="4"/>
        <v>400</v>
      </c>
      <c r="P20" s="5">
        <v>12</v>
      </c>
      <c r="Q20" s="20">
        <f t="shared" ca="1" si="5"/>
        <v>0.83006538859742585</v>
      </c>
      <c r="R20" s="25">
        <f t="shared" ca="1" si="6"/>
        <v>3</v>
      </c>
      <c r="S20" s="12">
        <f t="shared" ca="1" si="7"/>
        <v>300</v>
      </c>
    </row>
    <row r="21" spans="1:19" x14ac:dyDescent="0.2">
      <c r="A21" s="12">
        <v>16</v>
      </c>
      <c r="B21" s="13">
        <v>1</v>
      </c>
      <c r="K21" s="5">
        <v>13</v>
      </c>
      <c r="L21" s="20">
        <f t="shared" ca="1" si="2"/>
        <v>0.35189715776076691</v>
      </c>
      <c r="M21" s="25">
        <f t="shared" ca="1" si="3"/>
        <v>1</v>
      </c>
      <c r="N21" s="12">
        <f t="shared" ca="1" si="4"/>
        <v>100</v>
      </c>
      <c r="P21" s="5">
        <v>13</v>
      </c>
      <c r="Q21" s="20">
        <f t="shared" ca="1" si="5"/>
        <v>0.34809891701854589</v>
      </c>
      <c r="R21" s="25">
        <f t="shared" ca="1" si="6"/>
        <v>1</v>
      </c>
      <c r="S21" s="12">
        <f t="shared" ca="1" si="7"/>
        <v>100</v>
      </c>
    </row>
    <row r="22" spans="1:19" x14ac:dyDescent="0.2">
      <c r="A22" s="12">
        <v>17</v>
      </c>
      <c r="B22" s="13">
        <v>3</v>
      </c>
      <c r="K22" s="5">
        <v>14</v>
      </c>
      <c r="L22" s="20">
        <f t="shared" ca="1" si="2"/>
        <v>0.37309052758970807</v>
      </c>
      <c r="M22" s="25">
        <f t="shared" ca="1" si="3"/>
        <v>1</v>
      </c>
      <c r="N22" s="12">
        <f t="shared" ca="1" si="4"/>
        <v>100</v>
      </c>
      <c r="P22" s="5">
        <v>14</v>
      </c>
      <c r="Q22" s="20">
        <f t="shared" ca="1" si="5"/>
        <v>5.0811457495371526E-2</v>
      </c>
      <c r="R22" s="25">
        <f t="shared" ca="1" si="6"/>
        <v>0</v>
      </c>
      <c r="S22" s="12">
        <f t="shared" ca="1" si="7"/>
        <v>0</v>
      </c>
    </row>
    <row r="23" spans="1:19" x14ac:dyDescent="0.2">
      <c r="A23" s="12">
        <v>18</v>
      </c>
      <c r="B23" s="13">
        <v>1</v>
      </c>
      <c r="K23" s="5">
        <v>15</v>
      </c>
      <c r="L23" s="20">
        <f t="shared" ca="1" si="2"/>
        <v>0.96519520323323271</v>
      </c>
      <c r="M23" s="25">
        <f t="shared" ca="1" si="3"/>
        <v>4</v>
      </c>
      <c r="N23" s="12">
        <f t="shared" ca="1" si="4"/>
        <v>400</v>
      </c>
      <c r="P23" s="5">
        <v>15</v>
      </c>
      <c r="Q23" s="20">
        <f t="shared" ca="1" si="5"/>
        <v>0.74347427287186729</v>
      </c>
      <c r="R23" s="25">
        <f t="shared" ca="1" si="6"/>
        <v>2</v>
      </c>
      <c r="S23" s="12">
        <f t="shared" ca="1" si="7"/>
        <v>200</v>
      </c>
    </row>
    <row r="24" spans="1:19" x14ac:dyDescent="0.2">
      <c r="A24" s="12">
        <v>19</v>
      </c>
      <c r="B24" s="13">
        <v>1</v>
      </c>
      <c r="K24" s="5">
        <v>16</v>
      </c>
      <c r="L24" s="20">
        <f t="shared" ca="1" si="2"/>
        <v>0.96550721641235782</v>
      </c>
      <c r="M24" s="25">
        <f t="shared" ca="1" si="3"/>
        <v>4</v>
      </c>
      <c r="N24" s="12">
        <f t="shared" ca="1" si="4"/>
        <v>400</v>
      </c>
      <c r="P24" s="5">
        <v>16</v>
      </c>
      <c r="Q24" s="20">
        <f t="shared" ca="1" si="5"/>
        <v>0.60402395983388557</v>
      </c>
      <c r="R24" s="25">
        <f t="shared" ca="1" si="6"/>
        <v>2</v>
      </c>
      <c r="S24" s="12">
        <f t="shared" ca="1" si="7"/>
        <v>200</v>
      </c>
    </row>
    <row r="25" spans="1:19" x14ac:dyDescent="0.2">
      <c r="A25" s="30">
        <v>20</v>
      </c>
      <c r="B25" s="7">
        <v>1</v>
      </c>
      <c r="K25" s="5">
        <v>17</v>
      </c>
      <c r="L25" s="20">
        <f t="shared" ca="1" si="2"/>
        <v>0.25509029240766556</v>
      </c>
      <c r="M25" s="25">
        <f t="shared" ca="1" si="3"/>
        <v>1</v>
      </c>
      <c r="N25" s="12">
        <f t="shared" ca="1" si="4"/>
        <v>100</v>
      </c>
      <c r="P25" s="5">
        <v>17</v>
      </c>
      <c r="Q25" s="20">
        <f t="shared" ca="1" si="5"/>
        <v>0.71102149973137296</v>
      </c>
      <c r="R25" s="25">
        <f t="shared" ca="1" si="6"/>
        <v>2</v>
      </c>
      <c r="S25" s="12">
        <f t="shared" ca="1" si="7"/>
        <v>200</v>
      </c>
    </row>
    <row r="26" spans="1:19" x14ac:dyDescent="0.2">
      <c r="K26" s="5">
        <v>18</v>
      </c>
      <c r="L26" s="20">
        <f t="shared" ca="1" si="2"/>
        <v>0.48434841212722446</v>
      </c>
      <c r="M26" s="25">
        <f t="shared" ca="1" si="3"/>
        <v>1</v>
      </c>
      <c r="N26" s="12">
        <f t="shared" ca="1" si="4"/>
        <v>100</v>
      </c>
      <c r="P26" s="5">
        <v>18</v>
      </c>
      <c r="Q26" s="20">
        <f t="shared" ca="1" si="5"/>
        <v>2.1018291683947643E-2</v>
      </c>
      <c r="R26" s="25">
        <f t="shared" ca="1" si="6"/>
        <v>0</v>
      </c>
      <c r="S26" s="12">
        <f t="shared" ca="1" si="7"/>
        <v>0</v>
      </c>
    </row>
    <row r="27" spans="1:19" x14ac:dyDescent="0.2">
      <c r="K27" s="5">
        <v>19</v>
      </c>
      <c r="L27" s="20">
        <f t="shared" ca="1" si="2"/>
        <v>0.59033691307962211</v>
      </c>
      <c r="M27" s="25">
        <f t="shared" ca="1" si="3"/>
        <v>2</v>
      </c>
      <c r="N27" s="12">
        <f t="shared" ca="1" si="4"/>
        <v>200</v>
      </c>
      <c r="P27" s="5">
        <v>19</v>
      </c>
      <c r="Q27" s="20">
        <f t="shared" ca="1" si="5"/>
        <v>0.18708310443362097</v>
      </c>
      <c r="R27" s="25">
        <f t="shared" ca="1" si="6"/>
        <v>1</v>
      </c>
      <c r="S27" s="12">
        <f t="shared" ca="1" si="7"/>
        <v>100</v>
      </c>
    </row>
    <row r="28" spans="1:19" x14ac:dyDescent="0.2">
      <c r="K28" s="5">
        <v>20</v>
      </c>
      <c r="L28" s="20">
        <f t="shared" ca="1" si="2"/>
        <v>6.1246037979476586E-2</v>
      </c>
      <c r="M28" s="25">
        <f t="shared" ca="1" si="3"/>
        <v>0</v>
      </c>
      <c r="N28" s="12">
        <f t="shared" ca="1" si="4"/>
        <v>0</v>
      </c>
      <c r="P28" s="5">
        <v>20</v>
      </c>
      <c r="Q28" s="20">
        <f t="shared" ca="1" si="5"/>
        <v>0.93339892258774293</v>
      </c>
      <c r="R28" s="25">
        <f t="shared" ca="1" si="6"/>
        <v>4</v>
      </c>
      <c r="S28" s="12">
        <f t="shared" ca="1" si="7"/>
        <v>400</v>
      </c>
    </row>
    <row r="29" spans="1:19" x14ac:dyDescent="0.2">
      <c r="K29" s="5">
        <v>21</v>
      </c>
      <c r="L29" s="20">
        <f t="shared" ca="1" si="2"/>
        <v>0.85681173545278777</v>
      </c>
      <c r="M29" s="25">
        <f t="shared" ca="1" si="3"/>
        <v>3</v>
      </c>
      <c r="N29" s="12">
        <f t="shared" ca="1" si="4"/>
        <v>300</v>
      </c>
      <c r="P29" s="5">
        <v>21</v>
      </c>
      <c r="Q29" s="20">
        <f t="shared" ca="1" si="5"/>
        <v>0.40871589247272944</v>
      </c>
      <c r="R29" s="25">
        <f t="shared" ca="1" si="6"/>
        <v>1</v>
      </c>
      <c r="S29" s="12">
        <f t="shared" ca="1" si="7"/>
        <v>100</v>
      </c>
    </row>
    <row r="30" spans="1:19" x14ac:dyDescent="0.2">
      <c r="K30" s="5">
        <v>22</v>
      </c>
      <c r="L30" s="20">
        <f t="shared" ca="1" si="2"/>
        <v>0.18343973938052671</v>
      </c>
      <c r="M30" s="25">
        <f t="shared" ca="1" si="3"/>
        <v>1</v>
      </c>
      <c r="N30" s="12">
        <f t="shared" ca="1" si="4"/>
        <v>100</v>
      </c>
      <c r="P30" s="5">
        <v>22</v>
      </c>
      <c r="Q30" s="20">
        <f t="shared" ca="1" si="5"/>
        <v>4.6658228042306571E-2</v>
      </c>
      <c r="R30" s="25">
        <f t="shared" ca="1" si="6"/>
        <v>0</v>
      </c>
      <c r="S30" s="12">
        <f t="shared" ca="1" si="7"/>
        <v>0</v>
      </c>
    </row>
    <row r="31" spans="1:19" x14ac:dyDescent="0.2">
      <c r="K31" s="5">
        <v>23</v>
      </c>
      <c r="L31" s="20">
        <f t="shared" ca="1" si="2"/>
        <v>0.48102703235886457</v>
      </c>
      <c r="M31" s="25">
        <f t="shared" ca="1" si="3"/>
        <v>1</v>
      </c>
      <c r="N31" s="12">
        <f t="shared" ca="1" si="4"/>
        <v>100</v>
      </c>
      <c r="P31" s="5">
        <v>23</v>
      </c>
      <c r="Q31" s="20">
        <f t="shared" ca="1" si="5"/>
        <v>8.1344953625470562E-2</v>
      </c>
      <c r="R31" s="25">
        <f t="shared" ca="1" si="6"/>
        <v>0</v>
      </c>
      <c r="S31" s="12">
        <f t="shared" ca="1" si="7"/>
        <v>0</v>
      </c>
    </row>
    <row r="32" spans="1:19" x14ac:dyDescent="0.2">
      <c r="K32" s="5">
        <v>24</v>
      </c>
      <c r="L32" s="20">
        <f t="shared" ca="1" si="2"/>
        <v>9.6356735689116513E-2</v>
      </c>
      <c r="M32" s="25">
        <f t="shared" ca="1" si="3"/>
        <v>0</v>
      </c>
      <c r="N32" s="12">
        <f t="shared" ca="1" si="4"/>
        <v>0</v>
      </c>
      <c r="P32" s="5">
        <v>24</v>
      </c>
      <c r="Q32" s="20">
        <f t="shared" ca="1" si="5"/>
        <v>0.63166838251090962</v>
      </c>
      <c r="R32" s="25">
        <f t="shared" ca="1" si="6"/>
        <v>2</v>
      </c>
      <c r="S32" s="12">
        <f t="shared" ca="1" si="7"/>
        <v>200</v>
      </c>
    </row>
    <row r="33" spans="11:19" x14ac:dyDescent="0.2">
      <c r="K33" s="5">
        <v>25</v>
      </c>
      <c r="L33" s="20">
        <f t="shared" ca="1" si="2"/>
        <v>0.90508096501942381</v>
      </c>
      <c r="M33" s="25">
        <f t="shared" ca="1" si="3"/>
        <v>4</v>
      </c>
      <c r="N33" s="12">
        <f t="shared" ca="1" si="4"/>
        <v>400</v>
      </c>
      <c r="P33" s="5">
        <v>25</v>
      </c>
      <c r="Q33" s="20">
        <f t="shared" ca="1" si="5"/>
        <v>0.72932083903460143</v>
      </c>
      <c r="R33" s="25">
        <f t="shared" ca="1" si="6"/>
        <v>2</v>
      </c>
      <c r="S33" s="12">
        <f t="shared" ca="1" si="7"/>
        <v>200</v>
      </c>
    </row>
    <row r="34" spans="11:19" x14ac:dyDescent="0.2">
      <c r="K34" s="5">
        <v>26</v>
      </c>
      <c r="L34" s="20">
        <f t="shared" ca="1" si="2"/>
        <v>2.8256059008463508E-2</v>
      </c>
      <c r="M34" s="25">
        <f t="shared" ca="1" si="3"/>
        <v>0</v>
      </c>
      <c r="N34" s="12">
        <f t="shared" ca="1" si="4"/>
        <v>0</v>
      </c>
      <c r="P34" s="5">
        <v>26</v>
      </c>
      <c r="Q34" s="20">
        <f t="shared" ca="1" si="5"/>
        <v>0.4270037295196869</v>
      </c>
      <c r="R34" s="25">
        <f t="shared" ca="1" si="6"/>
        <v>1</v>
      </c>
      <c r="S34" s="12">
        <f t="shared" ca="1" si="7"/>
        <v>100</v>
      </c>
    </row>
    <row r="35" spans="11:19" x14ac:dyDescent="0.2">
      <c r="K35" s="5">
        <v>27</v>
      </c>
      <c r="L35" s="20">
        <f t="shared" ca="1" si="2"/>
        <v>0.87855228142231234</v>
      </c>
      <c r="M35" s="25">
        <f t="shared" ca="1" si="3"/>
        <v>3</v>
      </c>
      <c r="N35" s="12">
        <f t="shared" ca="1" si="4"/>
        <v>300</v>
      </c>
      <c r="P35" s="5">
        <v>27</v>
      </c>
      <c r="Q35" s="20">
        <f t="shared" ca="1" si="5"/>
        <v>0.60795126665101118</v>
      </c>
      <c r="R35" s="25">
        <f t="shared" ca="1" si="6"/>
        <v>2</v>
      </c>
      <c r="S35" s="12">
        <f t="shared" ca="1" si="7"/>
        <v>200</v>
      </c>
    </row>
    <row r="36" spans="11:19" x14ac:dyDescent="0.2">
      <c r="K36" s="5">
        <v>28</v>
      </c>
      <c r="L36" s="20">
        <f t="shared" ca="1" si="2"/>
        <v>0.14033845888863938</v>
      </c>
      <c r="M36" s="25">
        <f t="shared" ca="1" si="3"/>
        <v>1</v>
      </c>
      <c r="N36" s="12">
        <f t="shared" ca="1" si="4"/>
        <v>100</v>
      </c>
      <c r="P36" s="5">
        <v>28</v>
      </c>
      <c r="Q36" s="20">
        <f t="shared" ca="1" si="5"/>
        <v>0.20840907344545456</v>
      </c>
      <c r="R36" s="25">
        <f t="shared" ca="1" si="6"/>
        <v>1</v>
      </c>
      <c r="S36" s="12">
        <f t="shared" ca="1" si="7"/>
        <v>100</v>
      </c>
    </row>
    <row r="37" spans="11:19" x14ac:dyDescent="0.2">
      <c r="K37" s="5">
        <v>29</v>
      </c>
      <c r="L37" s="20">
        <f t="shared" ca="1" si="2"/>
        <v>0.63702647333463469</v>
      </c>
      <c r="M37" s="25">
        <f t="shared" ca="1" si="3"/>
        <v>2</v>
      </c>
      <c r="N37" s="12">
        <f t="shared" ca="1" si="4"/>
        <v>200</v>
      </c>
      <c r="P37" s="5">
        <v>29</v>
      </c>
      <c r="Q37" s="20">
        <f t="shared" ca="1" si="5"/>
        <v>0.75960696743601941</v>
      </c>
      <c r="R37" s="25">
        <f t="shared" ca="1" si="6"/>
        <v>3</v>
      </c>
      <c r="S37" s="12">
        <f t="shared" ca="1" si="7"/>
        <v>300</v>
      </c>
    </row>
    <row r="38" spans="11:19" x14ac:dyDescent="0.2">
      <c r="K38" s="5">
        <v>30</v>
      </c>
      <c r="L38" s="20">
        <f t="shared" ca="1" si="2"/>
        <v>0.21594042509492761</v>
      </c>
      <c r="M38" s="25">
        <f t="shared" ca="1" si="3"/>
        <v>1</v>
      </c>
      <c r="N38" s="12">
        <f t="shared" ca="1" si="4"/>
        <v>100</v>
      </c>
      <c r="P38" s="5">
        <v>30</v>
      </c>
      <c r="Q38" s="20">
        <f t="shared" ca="1" si="5"/>
        <v>0.58625814821857569</v>
      </c>
      <c r="R38" s="25">
        <f t="shared" ca="1" si="6"/>
        <v>2</v>
      </c>
      <c r="S38" s="12">
        <f t="shared" ca="1" si="7"/>
        <v>200</v>
      </c>
    </row>
    <row r="39" spans="11:19" x14ac:dyDescent="0.2">
      <c r="K39" s="5">
        <v>31</v>
      </c>
      <c r="L39" s="20">
        <f t="shared" ca="1" si="2"/>
        <v>0.63198779648291215</v>
      </c>
      <c r="M39" s="25">
        <f t="shared" ca="1" si="3"/>
        <v>2</v>
      </c>
      <c r="N39" s="12">
        <f t="shared" ca="1" si="4"/>
        <v>200</v>
      </c>
      <c r="P39" s="5">
        <v>31</v>
      </c>
      <c r="Q39" s="20">
        <f t="shared" ca="1" si="5"/>
        <v>0.6645155212715651</v>
      </c>
      <c r="R39" s="25">
        <f t="shared" ca="1" si="6"/>
        <v>2</v>
      </c>
      <c r="S39" s="12">
        <f t="shared" ca="1" si="7"/>
        <v>200</v>
      </c>
    </row>
    <row r="40" spans="11:19" x14ac:dyDescent="0.2">
      <c r="K40" s="5">
        <v>32</v>
      </c>
      <c r="L40" s="20">
        <f t="shared" ca="1" si="2"/>
        <v>0.60622906160003964</v>
      </c>
      <c r="M40" s="25">
        <f t="shared" ca="1" si="3"/>
        <v>2</v>
      </c>
      <c r="N40" s="12">
        <f t="shared" ca="1" si="4"/>
        <v>200</v>
      </c>
      <c r="P40" s="5">
        <v>32</v>
      </c>
      <c r="Q40" s="20">
        <f t="shared" ca="1" si="5"/>
        <v>0.57660608776307898</v>
      </c>
      <c r="R40" s="25">
        <f t="shared" ca="1" si="6"/>
        <v>2</v>
      </c>
      <c r="S40" s="12">
        <f t="shared" ca="1" si="7"/>
        <v>200</v>
      </c>
    </row>
    <row r="41" spans="11:19" x14ac:dyDescent="0.2">
      <c r="K41" s="5">
        <v>33</v>
      </c>
      <c r="L41" s="20">
        <f t="shared" ca="1" si="2"/>
        <v>0.77744878281456342</v>
      </c>
      <c r="M41" s="25">
        <f t="shared" ca="1" si="3"/>
        <v>3</v>
      </c>
      <c r="N41" s="12">
        <f t="shared" ca="1" si="4"/>
        <v>300</v>
      </c>
      <c r="P41" s="5">
        <v>33</v>
      </c>
      <c r="Q41" s="20">
        <f t="shared" ca="1" si="5"/>
        <v>0.18344176322233263</v>
      </c>
      <c r="R41" s="25">
        <f t="shared" ca="1" si="6"/>
        <v>1</v>
      </c>
      <c r="S41" s="12">
        <f t="shared" ca="1" si="7"/>
        <v>100</v>
      </c>
    </row>
    <row r="42" spans="11:19" x14ac:dyDescent="0.2">
      <c r="K42" s="5">
        <v>34</v>
      </c>
      <c r="L42" s="20">
        <f t="shared" ca="1" si="2"/>
        <v>0.29757343082340415</v>
      </c>
      <c r="M42" s="25">
        <f t="shared" ca="1" si="3"/>
        <v>1</v>
      </c>
      <c r="N42" s="12">
        <f t="shared" ca="1" si="4"/>
        <v>100</v>
      </c>
      <c r="P42" s="5">
        <v>34</v>
      </c>
      <c r="Q42" s="20">
        <f t="shared" ca="1" si="5"/>
        <v>0.44282542246102352</v>
      </c>
      <c r="R42" s="25">
        <f t="shared" ca="1" si="6"/>
        <v>1</v>
      </c>
      <c r="S42" s="12">
        <f t="shared" ca="1" si="7"/>
        <v>100</v>
      </c>
    </row>
    <row r="43" spans="11:19" x14ac:dyDescent="0.2">
      <c r="K43" s="5">
        <v>35</v>
      </c>
      <c r="L43" s="20">
        <f t="shared" ca="1" si="2"/>
        <v>0.38764949401279258</v>
      </c>
      <c r="M43" s="25">
        <f t="shared" ca="1" si="3"/>
        <v>1</v>
      </c>
      <c r="N43" s="12">
        <f t="shared" ca="1" si="4"/>
        <v>100</v>
      </c>
      <c r="P43" s="5">
        <v>35</v>
      </c>
      <c r="Q43" s="20">
        <f t="shared" ca="1" si="5"/>
        <v>7.7285442002263616E-2</v>
      </c>
      <c r="R43" s="25">
        <f t="shared" ca="1" si="6"/>
        <v>0</v>
      </c>
      <c r="S43" s="12">
        <f t="shared" ca="1" si="7"/>
        <v>0</v>
      </c>
    </row>
    <row r="44" spans="11:19" x14ac:dyDescent="0.2">
      <c r="K44" s="5">
        <v>36</v>
      </c>
      <c r="L44" s="20">
        <f t="shared" ca="1" si="2"/>
        <v>0.33260508558982371</v>
      </c>
      <c r="M44" s="25">
        <f t="shared" ca="1" si="3"/>
        <v>1</v>
      </c>
      <c r="N44" s="12">
        <f t="shared" ca="1" si="4"/>
        <v>100</v>
      </c>
      <c r="P44" s="5">
        <v>36</v>
      </c>
      <c r="Q44" s="20">
        <f t="shared" ca="1" si="5"/>
        <v>0.6692025602527123</v>
      </c>
      <c r="R44" s="25">
        <f t="shared" ca="1" si="6"/>
        <v>2</v>
      </c>
      <c r="S44" s="12">
        <f t="shared" ca="1" si="7"/>
        <v>200</v>
      </c>
    </row>
    <row r="45" spans="11:19" x14ac:dyDescent="0.2">
      <c r="K45" s="5">
        <v>37</v>
      </c>
      <c r="L45" s="20">
        <f t="shared" ca="1" si="2"/>
        <v>0.42194716368746654</v>
      </c>
      <c r="M45" s="25">
        <f t="shared" ca="1" si="3"/>
        <v>1</v>
      </c>
      <c r="N45" s="12">
        <f t="shared" ca="1" si="4"/>
        <v>100</v>
      </c>
      <c r="P45" s="5">
        <v>37</v>
      </c>
      <c r="Q45" s="20">
        <f t="shared" ca="1" si="5"/>
        <v>0.8499950704861674</v>
      </c>
      <c r="R45" s="25">
        <f t="shared" ca="1" si="6"/>
        <v>3</v>
      </c>
      <c r="S45" s="12">
        <f t="shared" ca="1" si="7"/>
        <v>300</v>
      </c>
    </row>
    <row r="46" spans="11:19" x14ac:dyDescent="0.2">
      <c r="K46" s="5">
        <v>38</v>
      </c>
      <c r="L46" s="20">
        <f t="shared" ca="1" si="2"/>
        <v>0.9580464613920342</v>
      </c>
      <c r="M46" s="25">
        <f t="shared" ca="1" si="3"/>
        <v>4</v>
      </c>
      <c r="N46" s="12">
        <f t="shared" ca="1" si="4"/>
        <v>400</v>
      </c>
      <c r="P46" s="5">
        <v>38</v>
      </c>
      <c r="Q46" s="20">
        <f t="shared" ca="1" si="5"/>
        <v>0.56969422764174371</v>
      </c>
      <c r="R46" s="25">
        <f t="shared" ca="1" si="6"/>
        <v>2</v>
      </c>
      <c r="S46" s="12">
        <f t="shared" ca="1" si="7"/>
        <v>200</v>
      </c>
    </row>
    <row r="47" spans="11:19" x14ac:dyDescent="0.2">
      <c r="K47" s="5">
        <v>39</v>
      </c>
      <c r="L47" s="20">
        <f t="shared" ca="1" si="2"/>
        <v>0.64088522015819205</v>
      </c>
      <c r="M47" s="25">
        <f t="shared" ca="1" si="3"/>
        <v>2</v>
      </c>
      <c r="N47" s="12">
        <f t="shared" ca="1" si="4"/>
        <v>200</v>
      </c>
      <c r="P47" s="5">
        <v>39</v>
      </c>
      <c r="Q47" s="20">
        <f t="shared" ca="1" si="5"/>
        <v>7.9891047448920616E-2</v>
      </c>
      <c r="R47" s="25">
        <f t="shared" ca="1" si="6"/>
        <v>0</v>
      </c>
      <c r="S47" s="12">
        <f t="shared" ca="1" si="7"/>
        <v>0</v>
      </c>
    </row>
    <row r="48" spans="11:19" x14ac:dyDescent="0.2">
      <c r="K48" s="5">
        <v>40</v>
      </c>
      <c r="L48" s="20">
        <f t="shared" ca="1" si="2"/>
        <v>0.33151375810709849</v>
      </c>
      <c r="M48" s="25">
        <f t="shared" ca="1" si="3"/>
        <v>1</v>
      </c>
      <c r="N48" s="12">
        <f t="shared" ca="1" si="4"/>
        <v>100</v>
      </c>
      <c r="P48" s="5">
        <v>40</v>
      </c>
      <c r="Q48" s="20">
        <f t="shared" ca="1" si="5"/>
        <v>0.53231626088295159</v>
      </c>
      <c r="R48" s="25">
        <f t="shared" ca="1" si="6"/>
        <v>2</v>
      </c>
      <c r="S48" s="12">
        <f t="shared" ca="1" si="7"/>
        <v>200</v>
      </c>
    </row>
    <row r="49" spans="11:19" x14ac:dyDescent="0.2">
      <c r="K49" s="5">
        <v>41</v>
      </c>
      <c r="L49" s="20">
        <f t="shared" ca="1" si="2"/>
        <v>1.7604468475207025E-2</v>
      </c>
      <c r="M49" s="25">
        <f t="shared" ca="1" si="3"/>
        <v>0</v>
      </c>
      <c r="N49" s="12">
        <f t="shared" ca="1" si="4"/>
        <v>0</v>
      </c>
      <c r="P49" s="5">
        <v>41</v>
      </c>
      <c r="Q49" s="20">
        <f t="shared" ca="1" si="5"/>
        <v>0.83521211776836335</v>
      </c>
      <c r="R49" s="25">
        <f t="shared" ca="1" si="6"/>
        <v>3</v>
      </c>
      <c r="S49" s="12">
        <f t="shared" ca="1" si="7"/>
        <v>300</v>
      </c>
    </row>
    <row r="50" spans="11:19" x14ac:dyDescent="0.2">
      <c r="K50" s="5">
        <v>42</v>
      </c>
      <c r="L50" s="20">
        <f t="shared" ca="1" si="2"/>
        <v>0.58877822257299073</v>
      </c>
      <c r="M50" s="25">
        <f t="shared" ca="1" si="3"/>
        <v>2</v>
      </c>
      <c r="N50" s="12">
        <f t="shared" ca="1" si="4"/>
        <v>200</v>
      </c>
      <c r="P50" s="5">
        <v>42</v>
      </c>
      <c r="Q50" s="20">
        <f t="shared" ca="1" si="5"/>
        <v>0.725308569964773</v>
      </c>
      <c r="R50" s="25">
        <f t="shared" ca="1" si="6"/>
        <v>2</v>
      </c>
      <c r="S50" s="12">
        <f t="shared" ca="1" si="7"/>
        <v>200</v>
      </c>
    </row>
    <row r="51" spans="11:19" x14ac:dyDescent="0.2">
      <c r="K51" s="5">
        <v>43</v>
      </c>
      <c r="L51" s="20">
        <f t="shared" ca="1" si="2"/>
        <v>0.60890562274224413</v>
      </c>
      <c r="M51" s="25">
        <f t="shared" ca="1" si="3"/>
        <v>2</v>
      </c>
      <c r="N51" s="12">
        <f t="shared" ca="1" si="4"/>
        <v>200</v>
      </c>
      <c r="P51" s="5">
        <v>43</v>
      </c>
      <c r="Q51" s="20">
        <f t="shared" ca="1" si="5"/>
        <v>0.61002965593133929</v>
      </c>
      <c r="R51" s="25">
        <f t="shared" ca="1" si="6"/>
        <v>2</v>
      </c>
      <c r="S51" s="12">
        <f t="shared" ca="1" si="7"/>
        <v>200</v>
      </c>
    </row>
    <row r="52" spans="11:19" x14ac:dyDescent="0.2">
      <c r="K52" s="5">
        <v>44</v>
      </c>
      <c r="L52" s="20">
        <f t="shared" ca="1" si="2"/>
        <v>0.52980763967100386</v>
      </c>
      <c r="M52" s="25">
        <f t="shared" ca="1" si="3"/>
        <v>2</v>
      </c>
      <c r="N52" s="12">
        <f t="shared" ca="1" si="4"/>
        <v>200</v>
      </c>
      <c r="P52" s="5">
        <v>44</v>
      </c>
      <c r="Q52" s="20">
        <f t="shared" ca="1" si="5"/>
        <v>0.85595334431461512</v>
      </c>
      <c r="R52" s="25">
        <f t="shared" ca="1" si="6"/>
        <v>3</v>
      </c>
      <c r="S52" s="12">
        <f t="shared" ca="1" si="7"/>
        <v>300</v>
      </c>
    </row>
    <row r="53" spans="11:19" x14ac:dyDescent="0.2">
      <c r="K53" s="5">
        <v>45</v>
      </c>
      <c r="L53" s="20">
        <f t="shared" ca="1" si="2"/>
        <v>0.37895639204678655</v>
      </c>
      <c r="M53" s="25">
        <f t="shared" ca="1" si="3"/>
        <v>1</v>
      </c>
      <c r="N53" s="12">
        <f t="shared" ca="1" si="4"/>
        <v>100</v>
      </c>
      <c r="P53" s="5">
        <v>45</v>
      </c>
      <c r="Q53" s="20">
        <f t="shared" ca="1" si="5"/>
        <v>0.33522479100290692</v>
      </c>
      <c r="R53" s="25">
        <f t="shared" ca="1" si="6"/>
        <v>1</v>
      </c>
      <c r="S53" s="12">
        <f t="shared" ca="1" si="7"/>
        <v>100</v>
      </c>
    </row>
    <row r="54" spans="11:19" x14ac:dyDescent="0.2">
      <c r="K54" s="5">
        <v>46</v>
      </c>
      <c r="L54" s="20">
        <f t="shared" ca="1" si="2"/>
        <v>0.19295716380119654</v>
      </c>
      <c r="M54" s="25">
        <f t="shared" ca="1" si="3"/>
        <v>1</v>
      </c>
      <c r="N54" s="12">
        <f t="shared" ca="1" si="4"/>
        <v>100</v>
      </c>
      <c r="P54" s="5">
        <v>46</v>
      </c>
      <c r="Q54" s="20">
        <f t="shared" ca="1" si="5"/>
        <v>0.21357783284314191</v>
      </c>
      <c r="R54" s="25">
        <f t="shared" ca="1" si="6"/>
        <v>1</v>
      </c>
      <c r="S54" s="12">
        <f t="shared" ca="1" si="7"/>
        <v>100</v>
      </c>
    </row>
    <row r="55" spans="11:19" x14ac:dyDescent="0.2">
      <c r="K55" s="5">
        <v>47</v>
      </c>
      <c r="L55" s="20">
        <f t="shared" ca="1" si="2"/>
        <v>0.91044224657741879</v>
      </c>
      <c r="M55" s="25">
        <f t="shared" ca="1" si="3"/>
        <v>4</v>
      </c>
      <c r="N55" s="12">
        <f t="shared" ca="1" si="4"/>
        <v>400</v>
      </c>
      <c r="P55" s="5">
        <v>47</v>
      </c>
      <c r="Q55" s="20">
        <f t="shared" ca="1" si="5"/>
        <v>0.64241949550383903</v>
      </c>
      <c r="R55" s="25">
        <f t="shared" ca="1" si="6"/>
        <v>2</v>
      </c>
      <c r="S55" s="12">
        <f t="shared" ca="1" si="7"/>
        <v>200</v>
      </c>
    </row>
    <row r="56" spans="11:19" x14ac:dyDescent="0.2">
      <c r="K56" s="5">
        <v>48</v>
      </c>
      <c r="L56" s="20">
        <f t="shared" ca="1" si="2"/>
        <v>0.44705805781321495</v>
      </c>
      <c r="M56" s="25">
        <f t="shared" ca="1" si="3"/>
        <v>1</v>
      </c>
      <c r="N56" s="12">
        <f t="shared" ca="1" si="4"/>
        <v>100</v>
      </c>
      <c r="P56" s="5">
        <v>48</v>
      </c>
      <c r="Q56" s="20">
        <f t="shared" ca="1" si="5"/>
        <v>0.95897214304338496</v>
      </c>
      <c r="R56" s="25">
        <f t="shared" ca="1" si="6"/>
        <v>4</v>
      </c>
      <c r="S56" s="12">
        <f t="shared" ca="1" si="7"/>
        <v>400</v>
      </c>
    </row>
    <row r="57" spans="11:19" x14ac:dyDescent="0.2">
      <c r="K57" s="5">
        <v>49</v>
      </c>
      <c r="L57" s="20">
        <f t="shared" ca="1" si="2"/>
        <v>0.55125688288223162</v>
      </c>
      <c r="M57" s="25">
        <f t="shared" ca="1" si="3"/>
        <v>2</v>
      </c>
      <c r="N57" s="12">
        <f t="shared" ca="1" si="4"/>
        <v>200</v>
      </c>
      <c r="P57" s="5">
        <v>49</v>
      </c>
      <c r="Q57" s="20">
        <f t="shared" ca="1" si="5"/>
        <v>0.39559779217173796</v>
      </c>
      <c r="R57" s="25">
        <f t="shared" ca="1" si="6"/>
        <v>1</v>
      </c>
      <c r="S57" s="12">
        <f t="shared" ca="1" si="7"/>
        <v>100</v>
      </c>
    </row>
    <row r="58" spans="11:19" x14ac:dyDescent="0.2">
      <c r="K58" s="5">
        <v>50</v>
      </c>
      <c r="L58" s="20">
        <f t="shared" ca="1" si="2"/>
        <v>0.35139442462587855</v>
      </c>
      <c r="M58" s="25">
        <f t="shared" ca="1" si="3"/>
        <v>1</v>
      </c>
      <c r="N58" s="12">
        <f t="shared" ca="1" si="4"/>
        <v>100</v>
      </c>
      <c r="P58" s="5">
        <v>50</v>
      </c>
      <c r="Q58" s="20">
        <f t="shared" ca="1" si="5"/>
        <v>0.84527778230155115</v>
      </c>
      <c r="R58" s="25">
        <f t="shared" ca="1" si="6"/>
        <v>3</v>
      </c>
      <c r="S58" s="12">
        <f t="shared" ca="1" si="7"/>
        <v>300</v>
      </c>
    </row>
    <row r="59" spans="11:19" x14ac:dyDescent="0.2">
      <c r="K59" s="5">
        <v>51</v>
      </c>
      <c r="L59" s="20">
        <f t="shared" ca="1" si="2"/>
        <v>0.8853572933318552</v>
      </c>
      <c r="M59" s="25">
        <f t="shared" ca="1" si="3"/>
        <v>3</v>
      </c>
      <c r="N59" s="12">
        <f t="shared" ca="1" si="4"/>
        <v>300</v>
      </c>
      <c r="P59" s="5">
        <v>51</v>
      </c>
      <c r="Q59" s="20">
        <f t="shared" ca="1" si="5"/>
        <v>0.51047141614118574</v>
      </c>
      <c r="R59" s="25">
        <f t="shared" ca="1" si="6"/>
        <v>2</v>
      </c>
      <c r="S59" s="12">
        <f t="shared" ca="1" si="7"/>
        <v>200</v>
      </c>
    </row>
    <row r="60" spans="11:19" x14ac:dyDescent="0.2">
      <c r="K60" s="5">
        <v>52</v>
      </c>
      <c r="L60" s="20">
        <f t="shared" ca="1" si="2"/>
        <v>0.70580150789926477</v>
      </c>
      <c r="M60" s="25">
        <f t="shared" ca="1" si="3"/>
        <v>2</v>
      </c>
      <c r="N60" s="12">
        <f t="shared" ca="1" si="4"/>
        <v>200</v>
      </c>
      <c r="P60" s="5">
        <v>52</v>
      </c>
      <c r="Q60" s="20">
        <f t="shared" ca="1" si="5"/>
        <v>9.3070983278268793E-2</v>
      </c>
      <c r="R60" s="25">
        <f t="shared" ca="1" si="6"/>
        <v>0</v>
      </c>
      <c r="S60" s="12">
        <f t="shared" ca="1" si="7"/>
        <v>0</v>
      </c>
    </row>
    <row r="61" spans="11:19" x14ac:dyDescent="0.2">
      <c r="K61" s="5">
        <v>53</v>
      </c>
      <c r="L61" s="20">
        <f t="shared" ca="1" si="2"/>
        <v>0.42797446891192548</v>
      </c>
      <c r="M61" s="25">
        <f t="shared" ca="1" si="3"/>
        <v>1</v>
      </c>
      <c r="N61" s="12">
        <f t="shared" ca="1" si="4"/>
        <v>100</v>
      </c>
      <c r="P61" s="5">
        <v>53</v>
      </c>
      <c r="Q61" s="20">
        <f t="shared" ca="1" si="5"/>
        <v>0.55035269971912482</v>
      </c>
      <c r="R61" s="25">
        <f t="shared" ca="1" si="6"/>
        <v>2</v>
      </c>
      <c r="S61" s="12">
        <f t="shared" ca="1" si="7"/>
        <v>200</v>
      </c>
    </row>
    <row r="62" spans="11:19" x14ac:dyDescent="0.2">
      <c r="K62" s="5">
        <v>54</v>
      </c>
      <c r="L62" s="20">
        <f t="shared" ca="1" si="2"/>
        <v>0.16995235946214271</v>
      </c>
      <c r="M62" s="25">
        <f t="shared" ca="1" si="3"/>
        <v>1</v>
      </c>
      <c r="N62" s="12">
        <f t="shared" ca="1" si="4"/>
        <v>100</v>
      </c>
      <c r="P62" s="5">
        <v>54</v>
      </c>
      <c r="Q62" s="20">
        <f t="shared" ca="1" si="5"/>
        <v>0.59847962405568411</v>
      </c>
      <c r="R62" s="25">
        <f t="shared" ca="1" si="6"/>
        <v>2</v>
      </c>
      <c r="S62" s="12">
        <f t="shared" ca="1" si="7"/>
        <v>200</v>
      </c>
    </row>
    <row r="63" spans="11:19" x14ac:dyDescent="0.2">
      <c r="K63" s="5">
        <v>55</v>
      </c>
      <c r="L63" s="20">
        <f t="shared" ca="1" si="2"/>
        <v>0.50368164619361666</v>
      </c>
      <c r="M63" s="25">
        <f t="shared" ca="1" si="3"/>
        <v>2</v>
      </c>
      <c r="N63" s="12">
        <f t="shared" ca="1" si="4"/>
        <v>200</v>
      </c>
      <c r="P63" s="5">
        <v>55</v>
      </c>
      <c r="Q63" s="20">
        <f t="shared" ca="1" si="5"/>
        <v>0.75037251388632675</v>
      </c>
      <c r="R63" s="25">
        <f t="shared" ca="1" si="6"/>
        <v>3</v>
      </c>
      <c r="S63" s="12">
        <f t="shared" ca="1" si="7"/>
        <v>300</v>
      </c>
    </row>
    <row r="64" spans="11:19" x14ac:dyDescent="0.2">
      <c r="K64" s="5">
        <v>56</v>
      </c>
      <c r="L64" s="20">
        <f t="shared" ca="1" si="2"/>
        <v>0.16495323196707601</v>
      </c>
      <c r="M64" s="25">
        <f t="shared" ca="1" si="3"/>
        <v>1</v>
      </c>
      <c r="N64" s="12">
        <f t="shared" ca="1" si="4"/>
        <v>100</v>
      </c>
      <c r="P64" s="5">
        <v>56</v>
      </c>
      <c r="Q64" s="20">
        <f t="shared" ca="1" si="5"/>
        <v>0.44161783936300558</v>
      </c>
      <c r="R64" s="25">
        <f t="shared" ca="1" si="6"/>
        <v>1</v>
      </c>
      <c r="S64" s="12">
        <f t="shared" ca="1" si="7"/>
        <v>100</v>
      </c>
    </row>
    <row r="65" spans="11:19" x14ac:dyDescent="0.2">
      <c r="K65" s="5">
        <v>57</v>
      </c>
      <c r="L65" s="20">
        <f t="shared" ca="1" si="2"/>
        <v>0.97997168145147751</v>
      </c>
      <c r="M65" s="25">
        <f t="shared" ca="1" si="3"/>
        <v>4</v>
      </c>
      <c r="N65" s="12">
        <f t="shared" ca="1" si="4"/>
        <v>400</v>
      </c>
      <c r="P65" s="5">
        <v>57</v>
      </c>
      <c r="Q65" s="20">
        <f t="shared" ca="1" si="5"/>
        <v>0.43574142695810714</v>
      </c>
      <c r="R65" s="25">
        <f t="shared" ca="1" si="6"/>
        <v>1</v>
      </c>
      <c r="S65" s="12">
        <f t="shared" ca="1" si="7"/>
        <v>100</v>
      </c>
    </row>
    <row r="66" spans="11:19" x14ac:dyDescent="0.2">
      <c r="K66" s="5">
        <v>58</v>
      </c>
      <c r="L66" s="20">
        <f t="shared" ca="1" si="2"/>
        <v>0.97667546554714602</v>
      </c>
      <c r="M66" s="25">
        <f t="shared" ca="1" si="3"/>
        <v>4</v>
      </c>
      <c r="N66" s="12">
        <f t="shared" ca="1" si="4"/>
        <v>400</v>
      </c>
      <c r="P66" s="5">
        <v>58</v>
      </c>
      <c r="Q66" s="20">
        <f t="shared" ca="1" si="5"/>
        <v>0.39466450837949119</v>
      </c>
      <c r="R66" s="25">
        <f t="shared" ca="1" si="6"/>
        <v>1</v>
      </c>
      <c r="S66" s="12">
        <f t="shared" ca="1" si="7"/>
        <v>100</v>
      </c>
    </row>
    <row r="67" spans="11:19" x14ac:dyDescent="0.2">
      <c r="K67" s="5">
        <v>59</v>
      </c>
      <c r="L67" s="20">
        <f t="shared" ca="1" si="2"/>
        <v>0.10403201146444574</v>
      </c>
      <c r="M67" s="25">
        <f t="shared" ca="1" si="3"/>
        <v>1</v>
      </c>
      <c r="N67" s="12">
        <f t="shared" ca="1" si="4"/>
        <v>100</v>
      </c>
      <c r="P67" s="5">
        <v>59</v>
      </c>
      <c r="Q67" s="20">
        <f t="shared" ca="1" si="5"/>
        <v>0.8944189220138935</v>
      </c>
      <c r="R67" s="25">
        <f t="shared" ca="1" si="6"/>
        <v>3</v>
      </c>
      <c r="S67" s="12">
        <f t="shared" ca="1" si="7"/>
        <v>300</v>
      </c>
    </row>
    <row r="68" spans="11:19" x14ac:dyDescent="0.2">
      <c r="K68" s="5">
        <v>60</v>
      </c>
      <c r="L68" s="20">
        <f t="shared" ca="1" si="2"/>
        <v>0.89227864703169002</v>
      </c>
      <c r="M68" s="25">
        <f t="shared" ca="1" si="3"/>
        <v>3</v>
      </c>
      <c r="N68" s="12">
        <f t="shared" ca="1" si="4"/>
        <v>300</v>
      </c>
      <c r="P68" s="5">
        <v>60</v>
      </c>
      <c r="Q68" s="20">
        <f t="shared" ca="1" si="5"/>
        <v>0.53725887319213428</v>
      </c>
      <c r="R68" s="25">
        <f t="shared" ca="1" si="6"/>
        <v>2</v>
      </c>
      <c r="S68" s="12">
        <f t="shared" ca="1" si="7"/>
        <v>200</v>
      </c>
    </row>
    <row r="69" spans="11:19" x14ac:dyDescent="0.2">
      <c r="K69" s="5">
        <v>61</v>
      </c>
      <c r="L69" s="20">
        <f t="shared" ca="1" si="2"/>
        <v>0.84877896056564028</v>
      </c>
      <c r="M69" s="25">
        <f t="shared" ca="1" si="3"/>
        <v>3</v>
      </c>
      <c r="N69" s="12">
        <f t="shared" ca="1" si="4"/>
        <v>300</v>
      </c>
      <c r="P69" s="5">
        <v>61</v>
      </c>
      <c r="Q69" s="20">
        <f t="shared" ca="1" si="5"/>
        <v>0.21305782330212075</v>
      </c>
      <c r="R69" s="25">
        <f t="shared" ca="1" si="6"/>
        <v>1</v>
      </c>
      <c r="S69" s="12">
        <f t="shared" ca="1" si="7"/>
        <v>100</v>
      </c>
    </row>
    <row r="70" spans="11:19" x14ac:dyDescent="0.2">
      <c r="K70" s="5">
        <v>62</v>
      </c>
      <c r="L70" s="20">
        <f t="shared" ca="1" si="2"/>
        <v>0.15835893706632509</v>
      </c>
      <c r="M70" s="25">
        <f t="shared" ca="1" si="3"/>
        <v>1</v>
      </c>
      <c r="N70" s="12">
        <f t="shared" ca="1" si="4"/>
        <v>100</v>
      </c>
      <c r="P70" s="5">
        <v>62</v>
      </c>
      <c r="Q70" s="20">
        <f t="shared" ca="1" si="5"/>
        <v>8.8171826322406721E-2</v>
      </c>
      <c r="R70" s="25">
        <f t="shared" ca="1" si="6"/>
        <v>0</v>
      </c>
      <c r="S70" s="12">
        <f t="shared" ca="1" si="7"/>
        <v>0</v>
      </c>
    </row>
    <row r="71" spans="11:19" x14ac:dyDescent="0.2">
      <c r="K71" s="5">
        <v>63</v>
      </c>
      <c r="L71" s="20">
        <f t="shared" ca="1" si="2"/>
        <v>0.81102934836311891</v>
      </c>
      <c r="M71" s="25">
        <f t="shared" ca="1" si="3"/>
        <v>3</v>
      </c>
      <c r="N71" s="12">
        <f t="shared" ca="1" si="4"/>
        <v>300</v>
      </c>
      <c r="P71" s="5">
        <v>63</v>
      </c>
      <c r="Q71" s="20">
        <f t="shared" ca="1" si="5"/>
        <v>0.63244039769466376</v>
      </c>
      <c r="R71" s="25">
        <f t="shared" ca="1" si="6"/>
        <v>2</v>
      </c>
      <c r="S71" s="12">
        <f t="shared" ca="1" si="7"/>
        <v>200</v>
      </c>
    </row>
    <row r="72" spans="11:19" x14ac:dyDescent="0.2">
      <c r="K72" s="5">
        <v>64</v>
      </c>
      <c r="L72" s="20">
        <f t="shared" ca="1" si="2"/>
        <v>0.75590350078195223</v>
      </c>
      <c r="M72" s="25">
        <f t="shared" ca="1" si="3"/>
        <v>3</v>
      </c>
      <c r="N72" s="12">
        <f t="shared" ca="1" si="4"/>
        <v>300</v>
      </c>
      <c r="P72" s="5">
        <v>64</v>
      </c>
      <c r="Q72" s="20">
        <f t="shared" ca="1" si="5"/>
        <v>0.56010893655761673</v>
      </c>
      <c r="R72" s="25">
        <f t="shared" ca="1" si="6"/>
        <v>2</v>
      </c>
      <c r="S72" s="12">
        <f t="shared" ca="1" si="7"/>
        <v>200</v>
      </c>
    </row>
    <row r="73" spans="11:19" x14ac:dyDescent="0.2">
      <c r="K73" s="5">
        <v>65</v>
      </c>
      <c r="L73" s="20">
        <f t="shared" ca="1" si="2"/>
        <v>0.81720474057286197</v>
      </c>
      <c r="M73" s="25">
        <f t="shared" ca="1" si="3"/>
        <v>3</v>
      </c>
      <c r="N73" s="12">
        <f t="shared" ca="1" si="4"/>
        <v>300</v>
      </c>
      <c r="P73" s="5">
        <v>65</v>
      </c>
      <c r="Q73" s="20">
        <f t="shared" ca="1" si="5"/>
        <v>0.78898712199726195</v>
      </c>
      <c r="R73" s="25">
        <f t="shared" ca="1" si="6"/>
        <v>3</v>
      </c>
      <c r="S73" s="12">
        <f t="shared" ca="1" si="7"/>
        <v>300</v>
      </c>
    </row>
    <row r="74" spans="11:19" x14ac:dyDescent="0.2">
      <c r="K74" s="5">
        <v>66</v>
      </c>
      <c r="L74" s="20">
        <f t="shared" ca="1" si="2"/>
        <v>0.75809713605738793</v>
      </c>
      <c r="M74" s="25">
        <f t="shared" ca="1" si="3"/>
        <v>3</v>
      </c>
      <c r="N74" s="12">
        <f t="shared" ca="1" si="4"/>
        <v>300</v>
      </c>
      <c r="P74" s="5">
        <v>66</v>
      </c>
      <c r="Q74" s="20">
        <f t="shared" ca="1" si="5"/>
        <v>0.9809122340520221</v>
      </c>
      <c r="R74" s="25">
        <f t="shared" ca="1" si="6"/>
        <v>4</v>
      </c>
      <c r="S74" s="12">
        <f t="shared" ca="1" si="7"/>
        <v>400</v>
      </c>
    </row>
    <row r="75" spans="11:19" x14ac:dyDescent="0.2">
      <c r="K75" s="5">
        <v>67</v>
      </c>
      <c r="L75" s="20">
        <f t="shared" ca="1" si="2"/>
        <v>0.824421862358521</v>
      </c>
      <c r="M75" s="25">
        <f t="shared" ca="1" si="3"/>
        <v>3</v>
      </c>
      <c r="N75" s="12">
        <f t="shared" ca="1" si="4"/>
        <v>300</v>
      </c>
      <c r="P75" s="5">
        <v>67</v>
      </c>
      <c r="Q75" s="20">
        <f t="shared" ca="1" si="5"/>
        <v>0.27907672265781169</v>
      </c>
      <c r="R75" s="25">
        <f t="shared" ca="1" si="6"/>
        <v>1</v>
      </c>
      <c r="S75" s="12">
        <f t="shared" ca="1" si="7"/>
        <v>100</v>
      </c>
    </row>
    <row r="76" spans="11:19" x14ac:dyDescent="0.2">
      <c r="K76" s="5">
        <v>68</v>
      </c>
      <c r="L76" s="20">
        <f t="shared" ca="1" si="2"/>
        <v>0.82936170488867611</v>
      </c>
      <c r="M76" s="25">
        <f t="shared" ca="1" si="3"/>
        <v>3</v>
      </c>
      <c r="N76" s="12">
        <f t="shared" ca="1" si="4"/>
        <v>300</v>
      </c>
      <c r="P76" s="5">
        <v>68</v>
      </c>
      <c r="Q76" s="20">
        <f t="shared" ca="1" si="5"/>
        <v>0.39556293939383513</v>
      </c>
      <c r="R76" s="25">
        <f t="shared" ca="1" si="6"/>
        <v>1</v>
      </c>
      <c r="S76" s="12">
        <f t="shared" ca="1" si="7"/>
        <v>100</v>
      </c>
    </row>
    <row r="77" spans="11:19" x14ac:dyDescent="0.2">
      <c r="K77" s="5">
        <v>69</v>
      </c>
      <c r="L77" s="20">
        <f t="shared" ca="1" si="2"/>
        <v>0.98687788847522928</v>
      </c>
      <c r="M77" s="25">
        <f t="shared" ca="1" si="3"/>
        <v>4</v>
      </c>
      <c r="N77" s="12">
        <f t="shared" ca="1" si="4"/>
        <v>400</v>
      </c>
      <c r="P77" s="5">
        <v>69</v>
      </c>
      <c r="Q77" s="20">
        <f t="shared" ca="1" si="5"/>
        <v>0.9214836477022903</v>
      </c>
      <c r="R77" s="25">
        <f t="shared" ca="1" si="6"/>
        <v>4</v>
      </c>
      <c r="S77" s="12">
        <f t="shared" ca="1" si="7"/>
        <v>400</v>
      </c>
    </row>
    <row r="78" spans="11:19" x14ac:dyDescent="0.2">
      <c r="K78" s="5">
        <v>70</v>
      </c>
      <c r="L78" s="20">
        <f t="shared" ref="L78:L141" ca="1" si="8">RAND()</f>
        <v>0.52892217011745535</v>
      </c>
      <c r="M78" s="25">
        <f t="shared" ref="M78:M141" ca="1" si="9">VLOOKUP(L78,$H$6:$I$10,2)</f>
        <v>2</v>
      </c>
      <c r="N78" s="12">
        <f t="shared" ref="N78:N141" ca="1" si="10">M78*100</f>
        <v>200</v>
      </c>
      <c r="P78" s="5">
        <v>70</v>
      </c>
      <c r="Q78" s="20">
        <f t="shared" ref="Q78:Q141" ca="1" si="11">RAND()</f>
        <v>0.99141811731544549</v>
      </c>
      <c r="R78" s="25">
        <f t="shared" ref="R78:R141" ca="1" si="12">VLOOKUP(Q78,$H$6:$I$10,2)</f>
        <v>4</v>
      </c>
      <c r="S78" s="12">
        <f t="shared" ref="S78:S141" ca="1" si="13">R78*100</f>
        <v>400</v>
      </c>
    </row>
    <row r="79" spans="11:19" x14ac:dyDescent="0.2">
      <c r="K79" s="5">
        <v>71</v>
      </c>
      <c r="L79" s="20">
        <f t="shared" ca="1" si="8"/>
        <v>0.97455696628967714</v>
      </c>
      <c r="M79" s="25">
        <f t="shared" ca="1" si="9"/>
        <v>4</v>
      </c>
      <c r="N79" s="12">
        <f t="shared" ca="1" si="10"/>
        <v>400</v>
      </c>
      <c r="P79" s="5">
        <v>71</v>
      </c>
      <c r="Q79" s="20">
        <f t="shared" ca="1" si="11"/>
        <v>0.44499113084592301</v>
      </c>
      <c r="R79" s="25">
        <f t="shared" ca="1" si="12"/>
        <v>1</v>
      </c>
      <c r="S79" s="12">
        <f t="shared" ca="1" si="13"/>
        <v>100</v>
      </c>
    </row>
    <row r="80" spans="11:19" x14ac:dyDescent="0.2">
      <c r="K80" s="5">
        <v>72</v>
      </c>
      <c r="L80" s="20">
        <f t="shared" ca="1" si="8"/>
        <v>0.32410332724331559</v>
      </c>
      <c r="M80" s="25">
        <f t="shared" ca="1" si="9"/>
        <v>1</v>
      </c>
      <c r="N80" s="12">
        <f t="shared" ca="1" si="10"/>
        <v>100</v>
      </c>
      <c r="P80" s="5">
        <v>72</v>
      </c>
      <c r="Q80" s="20">
        <f t="shared" ca="1" si="11"/>
        <v>0.46677921599306527</v>
      </c>
      <c r="R80" s="25">
        <f t="shared" ca="1" si="12"/>
        <v>1</v>
      </c>
      <c r="S80" s="12">
        <f t="shared" ca="1" si="13"/>
        <v>100</v>
      </c>
    </row>
    <row r="81" spans="11:19" x14ac:dyDescent="0.2">
      <c r="K81" s="5">
        <v>73</v>
      </c>
      <c r="L81" s="20">
        <f t="shared" ca="1" si="8"/>
        <v>0.92939573942578579</v>
      </c>
      <c r="M81" s="25">
        <f t="shared" ca="1" si="9"/>
        <v>4</v>
      </c>
      <c r="N81" s="12">
        <f t="shared" ca="1" si="10"/>
        <v>400</v>
      </c>
      <c r="P81" s="5">
        <v>73</v>
      </c>
      <c r="Q81" s="20">
        <f t="shared" ca="1" si="11"/>
        <v>0.51840620357128087</v>
      </c>
      <c r="R81" s="25">
        <f t="shared" ca="1" si="12"/>
        <v>2</v>
      </c>
      <c r="S81" s="12">
        <f t="shared" ca="1" si="13"/>
        <v>200</v>
      </c>
    </row>
    <row r="82" spans="11:19" x14ac:dyDescent="0.2">
      <c r="K82" s="5">
        <v>74</v>
      </c>
      <c r="L82" s="20">
        <f t="shared" ca="1" si="8"/>
        <v>0.47101051954406137</v>
      </c>
      <c r="M82" s="25">
        <f t="shared" ca="1" si="9"/>
        <v>1</v>
      </c>
      <c r="N82" s="12">
        <f t="shared" ca="1" si="10"/>
        <v>100</v>
      </c>
      <c r="P82" s="5">
        <v>74</v>
      </c>
      <c r="Q82" s="20">
        <f t="shared" ca="1" si="11"/>
        <v>2.6360429912261507E-2</v>
      </c>
      <c r="R82" s="25">
        <f t="shared" ca="1" si="12"/>
        <v>0</v>
      </c>
      <c r="S82" s="12">
        <f t="shared" ca="1" si="13"/>
        <v>0</v>
      </c>
    </row>
    <row r="83" spans="11:19" x14ac:dyDescent="0.2">
      <c r="K83" s="5">
        <v>75</v>
      </c>
      <c r="L83" s="20">
        <f t="shared" ca="1" si="8"/>
        <v>0.16652801757415547</v>
      </c>
      <c r="M83" s="25">
        <f t="shared" ca="1" si="9"/>
        <v>1</v>
      </c>
      <c r="N83" s="12">
        <f t="shared" ca="1" si="10"/>
        <v>100</v>
      </c>
      <c r="P83" s="5">
        <v>75</v>
      </c>
      <c r="Q83" s="20">
        <f t="shared" ca="1" si="11"/>
        <v>0.63306926415744136</v>
      </c>
      <c r="R83" s="25">
        <f t="shared" ca="1" si="12"/>
        <v>2</v>
      </c>
      <c r="S83" s="12">
        <f t="shared" ca="1" si="13"/>
        <v>200</v>
      </c>
    </row>
    <row r="84" spans="11:19" x14ac:dyDescent="0.2">
      <c r="K84" s="5">
        <v>76</v>
      </c>
      <c r="L84" s="20">
        <f t="shared" ca="1" si="8"/>
        <v>0.14984504007246968</v>
      </c>
      <c r="M84" s="25">
        <f t="shared" ca="1" si="9"/>
        <v>1</v>
      </c>
      <c r="N84" s="12">
        <f t="shared" ca="1" si="10"/>
        <v>100</v>
      </c>
      <c r="P84" s="5">
        <v>76</v>
      </c>
      <c r="Q84" s="20">
        <f t="shared" ca="1" si="11"/>
        <v>0.22322374892113106</v>
      </c>
      <c r="R84" s="25">
        <f t="shared" ca="1" si="12"/>
        <v>1</v>
      </c>
      <c r="S84" s="12">
        <f t="shared" ca="1" si="13"/>
        <v>100</v>
      </c>
    </row>
    <row r="85" spans="11:19" x14ac:dyDescent="0.2">
      <c r="K85" s="5">
        <v>77</v>
      </c>
      <c r="L85" s="20">
        <f t="shared" ca="1" si="8"/>
        <v>0.31942990744965372</v>
      </c>
      <c r="M85" s="25">
        <f t="shared" ca="1" si="9"/>
        <v>1</v>
      </c>
      <c r="N85" s="12">
        <f t="shared" ca="1" si="10"/>
        <v>100</v>
      </c>
      <c r="P85" s="5">
        <v>77</v>
      </c>
      <c r="Q85" s="20">
        <f t="shared" ca="1" si="11"/>
        <v>0.7329715470844913</v>
      </c>
      <c r="R85" s="25">
        <f t="shared" ca="1" si="12"/>
        <v>2</v>
      </c>
      <c r="S85" s="12">
        <f t="shared" ca="1" si="13"/>
        <v>200</v>
      </c>
    </row>
    <row r="86" spans="11:19" x14ac:dyDescent="0.2">
      <c r="K86" s="5">
        <v>78</v>
      </c>
      <c r="L86" s="20">
        <f t="shared" ca="1" si="8"/>
        <v>0.66102152809566994</v>
      </c>
      <c r="M86" s="25">
        <f t="shared" ca="1" si="9"/>
        <v>2</v>
      </c>
      <c r="N86" s="12">
        <f t="shared" ca="1" si="10"/>
        <v>200</v>
      </c>
      <c r="P86" s="5">
        <v>78</v>
      </c>
      <c r="Q86" s="20">
        <f t="shared" ca="1" si="11"/>
        <v>3.8108827379631616E-2</v>
      </c>
      <c r="R86" s="25">
        <f t="shared" ca="1" si="12"/>
        <v>0</v>
      </c>
      <c r="S86" s="12">
        <f t="shared" ca="1" si="13"/>
        <v>0</v>
      </c>
    </row>
    <row r="87" spans="11:19" x14ac:dyDescent="0.2">
      <c r="K87" s="5">
        <v>79</v>
      </c>
      <c r="L87" s="20">
        <f t="shared" ca="1" si="8"/>
        <v>0.96751535237068143</v>
      </c>
      <c r="M87" s="25">
        <f t="shared" ca="1" si="9"/>
        <v>4</v>
      </c>
      <c r="N87" s="12">
        <f t="shared" ca="1" si="10"/>
        <v>400</v>
      </c>
      <c r="P87" s="5">
        <v>79</v>
      </c>
      <c r="Q87" s="20">
        <f t="shared" ca="1" si="11"/>
        <v>0.26432953618909183</v>
      </c>
      <c r="R87" s="25">
        <f t="shared" ca="1" si="12"/>
        <v>1</v>
      </c>
      <c r="S87" s="12">
        <f t="shared" ca="1" si="13"/>
        <v>100</v>
      </c>
    </row>
    <row r="88" spans="11:19" x14ac:dyDescent="0.2">
      <c r="K88" s="5">
        <v>80</v>
      </c>
      <c r="L88" s="20">
        <f t="shared" ca="1" si="8"/>
        <v>0.81021880650136013</v>
      </c>
      <c r="M88" s="25">
        <f t="shared" ca="1" si="9"/>
        <v>3</v>
      </c>
      <c r="N88" s="12">
        <f t="shared" ca="1" si="10"/>
        <v>300</v>
      </c>
      <c r="P88" s="5">
        <v>80</v>
      </c>
      <c r="Q88" s="20">
        <f t="shared" ca="1" si="11"/>
        <v>0.6624328929481792</v>
      </c>
      <c r="R88" s="25">
        <f t="shared" ca="1" si="12"/>
        <v>2</v>
      </c>
      <c r="S88" s="12">
        <f t="shared" ca="1" si="13"/>
        <v>200</v>
      </c>
    </row>
    <row r="89" spans="11:19" x14ac:dyDescent="0.2">
      <c r="K89" s="5">
        <v>81</v>
      </c>
      <c r="L89" s="20">
        <f t="shared" ca="1" si="8"/>
        <v>0.99104424064842755</v>
      </c>
      <c r="M89" s="25">
        <f t="shared" ca="1" si="9"/>
        <v>4</v>
      </c>
      <c r="N89" s="12">
        <f t="shared" ca="1" si="10"/>
        <v>400</v>
      </c>
      <c r="P89" s="5">
        <v>81</v>
      </c>
      <c r="Q89" s="20">
        <f t="shared" ca="1" si="11"/>
        <v>0.58368518822119331</v>
      </c>
      <c r="R89" s="25">
        <f t="shared" ca="1" si="12"/>
        <v>2</v>
      </c>
      <c r="S89" s="12">
        <f t="shared" ca="1" si="13"/>
        <v>200</v>
      </c>
    </row>
    <row r="90" spans="11:19" x14ac:dyDescent="0.2">
      <c r="K90" s="5">
        <v>82</v>
      </c>
      <c r="L90" s="20">
        <f t="shared" ca="1" si="8"/>
        <v>0.56571871599115586</v>
      </c>
      <c r="M90" s="25">
        <f t="shared" ca="1" si="9"/>
        <v>2</v>
      </c>
      <c r="N90" s="12">
        <f t="shared" ca="1" si="10"/>
        <v>200</v>
      </c>
      <c r="P90" s="5">
        <v>82</v>
      </c>
      <c r="Q90" s="20">
        <f t="shared" ca="1" si="11"/>
        <v>0.20542655289130962</v>
      </c>
      <c r="R90" s="25">
        <f t="shared" ca="1" si="12"/>
        <v>1</v>
      </c>
      <c r="S90" s="12">
        <f t="shared" ca="1" si="13"/>
        <v>100</v>
      </c>
    </row>
    <row r="91" spans="11:19" x14ac:dyDescent="0.2">
      <c r="K91" s="5">
        <v>83</v>
      </c>
      <c r="L91" s="20">
        <f t="shared" ca="1" si="8"/>
        <v>0.71976858044918945</v>
      </c>
      <c r="M91" s="25">
        <f t="shared" ca="1" si="9"/>
        <v>2</v>
      </c>
      <c r="N91" s="12">
        <f t="shared" ca="1" si="10"/>
        <v>200</v>
      </c>
      <c r="P91" s="5">
        <v>83</v>
      </c>
      <c r="Q91" s="20">
        <f t="shared" ca="1" si="11"/>
        <v>0.12707357317802148</v>
      </c>
      <c r="R91" s="25">
        <f t="shared" ca="1" si="12"/>
        <v>1</v>
      </c>
      <c r="S91" s="12">
        <f t="shared" ca="1" si="13"/>
        <v>100</v>
      </c>
    </row>
    <row r="92" spans="11:19" x14ac:dyDescent="0.2">
      <c r="K92" s="5">
        <v>84</v>
      </c>
      <c r="L92" s="20">
        <f t="shared" ca="1" si="8"/>
        <v>0.17183880326656309</v>
      </c>
      <c r="M92" s="25">
        <f t="shared" ca="1" si="9"/>
        <v>1</v>
      </c>
      <c r="N92" s="12">
        <f t="shared" ca="1" si="10"/>
        <v>100</v>
      </c>
      <c r="P92" s="5">
        <v>84</v>
      </c>
      <c r="Q92" s="20">
        <f t="shared" ca="1" si="11"/>
        <v>0.19235617977612296</v>
      </c>
      <c r="R92" s="25">
        <f t="shared" ca="1" si="12"/>
        <v>1</v>
      </c>
      <c r="S92" s="12">
        <f t="shared" ca="1" si="13"/>
        <v>100</v>
      </c>
    </row>
    <row r="93" spans="11:19" x14ac:dyDescent="0.2">
      <c r="K93" s="5">
        <v>85</v>
      </c>
      <c r="L93" s="20">
        <f t="shared" ca="1" si="8"/>
        <v>0.97404727619681364</v>
      </c>
      <c r="M93" s="25">
        <f t="shared" ca="1" si="9"/>
        <v>4</v>
      </c>
      <c r="N93" s="12">
        <f t="shared" ca="1" si="10"/>
        <v>400</v>
      </c>
      <c r="P93" s="5">
        <v>85</v>
      </c>
      <c r="Q93" s="20">
        <f t="shared" ca="1" si="11"/>
        <v>0.39122802942461676</v>
      </c>
      <c r="R93" s="25">
        <f t="shared" ca="1" si="12"/>
        <v>1</v>
      </c>
      <c r="S93" s="12">
        <f t="shared" ca="1" si="13"/>
        <v>100</v>
      </c>
    </row>
    <row r="94" spans="11:19" x14ac:dyDescent="0.2">
      <c r="K94" s="5">
        <v>86</v>
      </c>
      <c r="L94" s="20">
        <f t="shared" ca="1" si="8"/>
        <v>0.53369914065624724</v>
      </c>
      <c r="M94" s="25">
        <f t="shared" ca="1" si="9"/>
        <v>2</v>
      </c>
      <c r="N94" s="12">
        <f t="shared" ca="1" si="10"/>
        <v>200</v>
      </c>
      <c r="P94" s="5">
        <v>86</v>
      </c>
      <c r="Q94" s="20">
        <f t="shared" ca="1" si="11"/>
        <v>0.89010708397284433</v>
      </c>
      <c r="R94" s="25">
        <f t="shared" ca="1" si="12"/>
        <v>3</v>
      </c>
      <c r="S94" s="12">
        <f t="shared" ca="1" si="13"/>
        <v>300</v>
      </c>
    </row>
    <row r="95" spans="11:19" x14ac:dyDescent="0.2">
      <c r="K95" s="5">
        <v>87</v>
      </c>
      <c r="L95" s="20">
        <f t="shared" ca="1" si="8"/>
        <v>0.41728666002601145</v>
      </c>
      <c r="M95" s="25">
        <f t="shared" ca="1" si="9"/>
        <v>1</v>
      </c>
      <c r="N95" s="12">
        <f t="shared" ca="1" si="10"/>
        <v>100</v>
      </c>
      <c r="P95" s="5">
        <v>87</v>
      </c>
      <c r="Q95" s="20">
        <f t="shared" ca="1" si="11"/>
        <v>0.47330719363158635</v>
      </c>
      <c r="R95" s="25">
        <f t="shared" ca="1" si="12"/>
        <v>1</v>
      </c>
      <c r="S95" s="12">
        <f t="shared" ca="1" si="13"/>
        <v>100</v>
      </c>
    </row>
    <row r="96" spans="11:19" x14ac:dyDescent="0.2">
      <c r="K96" s="5">
        <v>88</v>
      </c>
      <c r="L96" s="20">
        <f t="shared" ca="1" si="8"/>
        <v>0.36146146789832378</v>
      </c>
      <c r="M96" s="25">
        <f t="shared" ca="1" si="9"/>
        <v>1</v>
      </c>
      <c r="N96" s="12">
        <f t="shared" ca="1" si="10"/>
        <v>100</v>
      </c>
      <c r="P96" s="5">
        <v>88</v>
      </c>
      <c r="Q96" s="20">
        <f t="shared" ca="1" si="11"/>
        <v>0.22739509795645041</v>
      </c>
      <c r="R96" s="25">
        <f t="shared" ca="1" si="12"/>
        <v>1</v>
      </c>
      <c r="S96" s="12">
        <f t="shared" ca="1" si="13"/>
        <v>100</v>
      </c>
    </row>
    <row r="97" spans="11:19" x14ac:dyDescent="0.2">
      <c r="K97" s="5">
        <v>89</v>
      </c>
      <c r="L97" s="20">
        <f t="shared" ca="1" si="8"/>
        <v>0.53419427191515145</v>
      </c>
      <c r="M97" s="25">
        <f t="shared" ca="1" si="9"/>
        <v>2</v>
      </c>
      <c r="N97" s="12">
        <f t="shared" ca="1" si="10"/>
        <v>200</v>
      </c>
      <c r="P97" s="5">
        <v>89</v>
      </c>
      <c r="Q97" s="20">
        <f t="shared" ca="1" si="11"/>
        <v>0.22184822191833464</v>
      </c>
      <c r="R97" s="25">
        <f t="shared" ca="1" si="12"/>
        <v>1</v>
      </c>
      <c r="S97" s="12">
        <f t="shared" ca="1" si="13"/>
        <v>100</v>
      </c>
    </row>
    <row r="98" spans="11:19" x14ac:dyDescent="0.2">
      <c r="K98" s="5">
        <v>90</v>
      </c>
      <c r="L98" s="20">
        <f t="shared" ca="1" si="8"/>
        <v>0.41619110184720354</v>
      </c>
      <c r="M98" s="25">
        <f t="shared" ca="1" si="9"/>
        <v>1</v>
      </c>
      <c r="N98" s="12">
        <f t="shared" ca="1" si="10"/>
        <v>100</v>
      </c>
      <c r="P98" s="5">
        <v>90</v>
      </c>
      <c r="Q98" s="20">
        <f t="shared" ca="1" si="11"/>
        <v>0.30150555765916431</v>
      </c>
      <c r="R98" s="25">
        <f t="shared" ca="1" si="12"/>
        <v>1</v>
      </c>
      <c r="S98" s="12">
        <f t="shared" ca="1" si="13"/>
        <v>100</v>
      </c>
    </row>
    <row r="99" spans="11:19" x14ac:dyDescent="0.2">
      <c r="K99" s="5">
        <v>91</v>
      </c>
      <c r="L99" s="20">
        <f t="shared" ca="1" si="8"/>
        <v>0.57838305827154912</v>
      </c>
      <c r="M99" s="25">
        <f t="shared" ca="1" si="9"/>
        <v>2</v>
      </c>
      <c r="N99" s="12">
        <f t="shared" ca="1" si="10"/>
        <v>200</v>
      </c>
      <c r="P99" s="5">
        <v>91</v>
      </c>
      <c r="Q99" s="20">
        <f t="shared" ca="1" si="11"/>
        <v>0.16074015448952927</v>
      </c>
      <c r="R99" s="25">
        <f t="shared" ca="1" si="12"/>
        <v>1</v>
      </c>
      <c r="S99" s="12">
        <f t="shared" ca="1" si="13"/>
        <v>100</v>
      </c>
    </row>
    <row r="100" spans="11:19" x14ac:dyDescent="0.2">
      <c r="K100" s="5">
        <v>92</v>
      </c>
      <c r="L100" s="20">
        <f t="shared" ca="1" si="8"/>
        <v>8.891664467889504E-2</v>
      </c>
      <c r="M100" s="25">
        <f t="shared" ca="1" si="9"/>
        <v>0</v>
      </c>
      <c r="N100" s="12">
        <f t="shared" ca="1" si="10"/>
        <v>0</v>
      </c>
      <c r="P100" s="5">
        <v>92</v>
      </c>
      <c r="Q100" s="20">
        <f t="shared" ca="1" si="11"/>
        <v>0.64999859438746865</v>
      </c>
      <c r="R100" s="25">
        <f t="shared" ca="1" si="12"/>
        <v>2</v>
      </c>
      <c r="S100" s="12">
        <f t="shared" ca="1" si="13"/>
        <v>200</v>
      </c>
    </row>
    <row r="101" spans="11:19" x14ac:dyDescent="0.2">
      <c r="K101" s="5">
        <v>93</v>
      </c>
      <c r="L101" s="20">
        <f t="shared" ca="1" si="8"/>
        <v>0.73241905970398469</v>
      </c>
      <c r="M101" s="25">
        <f t="shared" ca="1" si="9"/>
        <v>2</v>
      </c>
      <c r="N101" s="12">
        <f t="shared" ca="1" si="10"/>
        <v>200</v>
      </c>
      <c r="P101" s="5">
        <v>93</v>
      </c>
      <c r="Q101" s="20">
        <f t="shared" ca="1" si="11"/>
        <v>0.47319100954416504</v>
      </c>
      <c r="R101" s="25">
        <f t="shared" ca="1" si="12"/>
        <v>1</v>
      </c>
      <c r="S101" s="12">
        <f t="shared" ca="1" si="13"/>
        <v>100</v>
      </c>
    </row>
    <row r="102" spans="11:19" x14ac:dyDescent="0.2">
      <c r="K102" s="5">
        <v>94</v>
      </c>
      <c r="L102" s="20">
        <f t="shared" ca="1" si="8"/>
        <v>0.97776286583679606</v>
      </c>
      <c r="M102" s="25">
        <f t="shared" ca="1" si="9"/>
        <v>4</v>
      </c>
      <c r="N102" s="12">
        <f t="shared" ca="1" si="10"/>
        <v>400</v>
      </c>
      <c r="P102" s="5">
        <v>94</v>
      </c>
      <c r="Q102" s="20">
        <f t="shared" ca="1" si="11"/>
        <v>0.35082081798047848</v>
      </c>
      <c r="R102" s="25">
        <f t="shared" ca="1" si="12"/>
        <v>1</v>
      </c>
      <c r="S102" s="12">
        <f t="shared" ca="1" si="13"/>
        <v>100</v>
      </c>
    </row>
    <row r="103" spans="11:19" x14ac:dyDescent="0.2">
      <c r="K103" s="5">
        <v>95</v>
      </c>
      <c r="L103" s="20">
        <f t="shared" ca="1" si="8"/>
        <v>0.66177020522852137</v>
      </c>
      <c r="M103" s="25">
        <f t="shared" ca="1" si="9"/>
        <v>2</v>
      </c>
      <c r="N103" s="12">
        <f t="shared" ca="1" si="10"/>
        <v>200</v>
      </c>
      <c r="P103" s="5">
        <v>95</v>
      </c>
      <c r="Q103" s="20">
        <f t="shared" ca="1" si="11"/>
        <v>0.86956418332801999</v>
      </c>
      <c r="R103" s="25">
        <f t="shared" ca="1" si="12"/>
        <v>3</v>
      </c>
      <c r="S103" s="12">
        <f t="shared" ca="1" si="13"/>
        <v>300</v>
      </c>
    </row>
    <row r="104" spans="11:19" x14ac:dyDescent="0.2">
      <c r="K104" s="5">
        <v>96</v>
      </c>
      <c r="L104" s="20">
        <f t="shared" ca="1" si="8"/>
        <v>0.40901022613569404</v>
      </c>
      <c r="M104" s="25">
        <f t="shared" ca="1" si="9"/>
        <v>1</v>
      </c>
      <c r="N104" s="12">
        <f t="shared" ca="1" si="10"/>
        <v>100</v>
      </c>
      <c r="P104" s="5">
        <v>96</v>
      </c>
      <c r="Q104" s="20">
        <f t="shared" ca="1" si="11"/>
        <v>0.39880228937136264</v>
      </c>
      <c r="R104" s="25">
        <f t="shared" ca="1" si="12"/>
        <v>1</v>
      </c>
      <c r="S104" s="12">
        <f t="shared" ca="1" si="13"/>
        <v>100</v>
      </c>
    </row>
    <row r="105" spans="11:19" x14ac:dyDescent="0.2">
      <c r="K105" s="5">
        <v>97</v>
      </c>
      <c r="L105" s="20">
        <f t="shared" ca="1" si="8"/>
        <v>0.5169952115533204</v>
      </c>
      <c r="M105" s="25">
        <f t="shared" ca="1" si="9"/>
        <v>2</v>
      </c>
      <c r="N105" s="12">
        <f t="shared" ca="1" si="10"/>
        <v>200</v>
      </c>
      <c r="P105" s="5">
        <v>97</v>
      </c>
      <c r="Q105" s="20">
        <f t="shared" ca="1" si="11"/>
        <v>0.86522393755940352</v>
      </c>
      <c r="R105" s="25">
        <f t="shared" ca="1" si="12"/>
        <v>3</v>
      </c>
      <c r="S105" s="12">
        <f t="shared" ca="1" si="13"/>
        <v>300</v>
      </c>
    </row>
    <row r="106" spans="11:19" x14ac:dyDescent="0.2">
      <c r="K106" s="5">
        <v>98</v>
      </c>
      <c r="L106" s="20">
        <f t="shared" ca="1" si="8"/>
        <v>0.88644399977392074</v>
      </c>
      <c r="M106" s="25">
        <f t="shared" ca="1" si="9"/>
        <v>3</v>
      </c>
      <c r="N106" s="12">
        <f t="shared" ca="1" si="10"/>
        <v>300</v>
      </c>
      <c r="P106" s="5">
        <v>98</v>
      </c>
      <c r="Q106" s="20">
        <f t="shared" ca="1" si="11"/>
        <v>0.51446381160509402</v>
      </c>
      <c r="R106" s="25">
        <f t="shared" ca="1" si="12"/>
        <v>2</v>
      </c>
      <c r="S106" s="12">
        <f t="shared" ca="1" si="13"/>
        <v>200</v>
      </c>
    </row>
    <row r="107" spans="11:19" x14ac:dyDescent="0.2">
      <c r="K107" s="5">
        <v>99</v>
      </c>
      <c r="L107" s="20">
        <f t="shared" ca="1" si="8"/>
        <v>0.37372589533618339</v>
      </c>
      <c r="M107" s="25">
        <f t="shared" ca="1" si="9"/>
        <v>1</v>
      </c>
      <c r="N107" s="12">
        <f t="shared" ca="1" si="10"/>
        <v>100</v>
      </c>
      <c r="P107" s="5">
        <v>99</v>
      </c>
      <c r="Q107" s="20">
        <f t="shared" ca="1" si="11"/>
        <v>1.323696941132213E-3</v>
      </c>
      <c r="R107" s="25">
        <f t="shared" ca="1" si="12"/>
        <v>0</v>
      </c>
      <c r="S107" s="12">
        <f t="shared" ca="1" si="13"/>
        <v>0</v>
      </c>
    </row>
    <row r="108" spans="11:19" x14ac:dyDescent="0.2">
      <c r="K108" s="5">
        <v>100</v>
      </c>
      <c r="L108" s="20">
        <f t="shared" ca="1" si="8"/>
        <v>1.0112418110458377E-2</v>
      </c>
      <c r="M108" s="25">
        <f t="shared" ca="1" si="9"/>
        <v>0</v>
      </c>
      <c r="N108" s="12">
        <f t="shared" ca="1" si="10"/>
        <v>0</v>
      </c>
      <c r="P108" s="5">
        <v>100</v>
      </c>
      <c r="Q108" s="20">
        <f t="shared" ca="1" si="11"/>
        <v>0.87695441954973719</v>
      </c>
      <c r="R108" s="25">
        <f t="shared" ca="1" si="12"/>
        <v>3</v>
      </c>
      <c r="S108" s="12">
        <f t="shared" ca="1" si="13"/>
        <v>300</v>
      </c>
    </row>
    <row r="109" spans="11:19" x14ac:dyDescent="0.2">
      <c r="K109" s="5">
        <v>101</v>
      </c>
      <c r="L109" s="20">
        <f t="shared" ca="1" si="8"/>
        <v>3.3792963592308212E-2</v>
      </c>
      <c r="M109" s="25">
        <f t="shared" ca="1" si="9"/>
        <v>0</v>
      </c>
      <c r="N109" s="12">
        <f t="shared" ca="1" si="10"/>
        <v>0</v>
      </c>
      <c r="P109" s="5">
        <v>101</v>
      </c>
      <c r="Q109" s="20">
        <f t="shared" ca="1" si="11"/>
        <v>0.1057028561436355</v>
      </c>
      <c r="R109" s="25">
        <f t="shared" ca="1" si="12"/>
        <v>1</v>
      </c>
      <c r="S109" s="12">
        <f t="shared" ca="1" si="13"/>
        <v>100</v>
      </c>
    </row>
    <row r="110" spans="11:19" x14ac:dyDescent="0.2">
      <c r="K110" s="5">
        <v>102</v>
      </c>
      <c r="L110" s="20">
        <f t="shared" ca="1" si="8"/>
        <v>0.8142474282301353</v>
      </c>
      <c r="M110" s="25">
        <f t="shared" ca="1" si="9"/>
        <v>3</v>
      </c>
      <c r="N110" s="12">
        <f t="shared" ca="1" si="10"/>
        <v>300</v>
      </c>
      <c r="P110" s="5">
        <v>102</v>
      </c>
      <c r="Q110" s="20">
        <f t="shared" ca="1" si="11"/>
        <v>0.88149617051717011</v>
      </c>
      <c r="R110" s="25">
        <f t="shared" ca="1" si="12"/>
        <v>3</v>
      </c>
      <c r="S110" s="12">
        <f t="shared" ca="1" si="13"/>
        <v>300</v>
      </c>
    </row>
    <row r="111" spans="11:19" x14ac:dyDescent="0.2">
      <c r="K111" s="5">
        <v>103</v>
      </c>
      <c r="L111" s="20">
        <f t="shared" ca="1" si="8"/>
        <v>0.8053703702215993</v>
      </c>
      <c r="M111" s="25">
        <f t="shared" ca="1" si="9"/>
        <v>3</v>
      </c>
      <c r="N111" s="12">
        <f t="shared" ca="1" si="10"/>
        <v>300</v>
      </c>
      <c r="P111" s="5">
        <v>103</v>
      </c>
      <c r="Q111" s="20">
        <f t="shared" ca="1" si="11"/>
        <v>0.39909206057942737</v>
      </c>
      <c r="R111" s="25">
        <f t="shared" ca="1" si="12"/>
        <v>1</v>
      </c>
      <c r="S111" s="12">
        <f t="shared" ca="1" si="13"/>
        <v>100</v>
      </c>
    </row>
    <row r="112" spans="11:19" x14ac:dyDescent="0.2">
      <c r="K112" s="5">
        <v>104</v>
      </c>
      <c r="L112" s="20">
        <f t="shared" ca="1" si="8"/>
        <v>0.55469621656297641</v>
      </c>
      <c r="M112" s="25">
        <f t="shared" ca="1" si="9"/>
        <v>2</v>
      </c>
      <c r="N112" s="12">
        <f t="shared" ca="1" si="10"/>
        <v>200</v>
      </c>
      <c r="P112" s="5">
        <v>104</v>
      </c>
      <c r="Q112" s="20">
        <f t="shared" ca="1" si="11"/>
        <v>0.29972884104618591</v>
      </c>
      <c r="R112" s="25">
        <f t="shared" ca="1" si="12"/>
        <v>1</v>
      </c>
      <c r="S112" s="12">
        <f t="shared" ca="1" si="13"/>
        <v>100</v>
      </c>
    </row>
    <row r="113" spans="11:19" x14ac:dyDescent="0.2">
      <c r="K113" s="5">
        <v>105</v>
      </c>
      <c r="L113" s="20">
        <f t="shared" ca="1" si="8"/>
        <v>0.50117058230712019</v>
      </c>
      <c r="M113" s="25">
        <f t="shared" ca="1" si="9"/>
        <v>2</v>
      </c>
      <c r="N113" s="12">
        <f t="shared" ca="1" si="10"/>
        <v>200</v>
      </c>
      <c r="P113" s="5">
        <v>105</v>
      </c>
      <c r="Q113" s="20">
        <f t="shared" ca="1" si="11"/>
        <v>0.1132930725122625</v>
      </c>
      <c r="R113" s="25">
        <f t="shared" ca="1" si="12"/>
        <v>1</v>
      </c>
      <c r="S113" s="12">
        <f t="shared" ca="1" si="13"/>
        <v>100</v>
      </c>
    </row>
    <row r="114" spans="11:19" x14ac:dyDescent="0.2">
      <c r="K114" s="5">
        <v>106</v>
      </c>
      <c r="L114" s="20">
        <f t="shared" ca="1" si="8"/>
        <v>0.56218869857671472</v>
      </c>
      <c r="M114" s="25">
        <f t="shared" ca="1" si="9"/>
        <v>2</v>
      </c>
      <c r="N114" s="12">
        <f t="shared" ca="1" si="10"/>
        <v>200</v>
      </c>
      <c r="P114" s="5">
        <v>106</v>
      </c>
      <c r="Q114" s="20">
        <f t="shared" ca="1" si="11"/>
        <v>0.83868651437764308</v>
      </c>
      <c r="R114" s="25">
        <f t="shared" ca="1" si="12"/>
        <v>3</v>
      </c>
      <c r="S114" s="12">
        <f t="shared" ca="1" si="13"/>
        <v>300</v>
      </c>
    </row>
    <row r="115" spans="11:19" x14ac:dyDescent="0.2">
      <c r="K115" s="5">
        <v>107</v>
      </c>
      <c r="L115" s="20">
        <f t="shared" ca="1" si="8"/>
        <v>0.67716678011541886</v>
      </c>
      <c r="M115" s="25">
        <f t="shared" ca="1" si="9"/>
        <v>2</v>
      </c>
      <c r="N115" s="12">
        <f t="shared" ca="1" si="10"/>
        <v>200</v>
      </c>
      <c r="P115" s="5">
        <v>107</v>
      </c>
      <c r="Q115" s="20">
        <f t="shared" ca="1" si="11"/>
        <v>0.14326730477139671</v>
      </c>
      <c r="R115" s="25">
        <f t="shared" ca="1" si="12"/>
        <v>1</v>
      </c>
      <c r="S115" s="12">
        <f t="shared" ca="1" si="13"/>
        <v>100</v>
      </c>
    </row>
    <row r="116" spans="11:19" x14ac:dyDescent="0.2">
      <c r="K116" s="5">
        <v>108</v>
      </c>
      <c r="L116" s="20">
        <f t="shared" ca="1" si="8"/>
        <v>0.65540903945359497</v>
      </c>
      <c r="M116" s="25">
        <f t="shared" ca="1" si="9"/>
        <v>2</v>
      </c>
      <c r="N116" s="12">
        <f t="shared" ca="1" si="10"/>
        <v>200</v>
      </c>
      <c r="P116" s="5">
        <v>108</v>
      </c>
      <c r="Q116" s="20">
        <f t="shared" ca="1" si="11"/>
        <v>0.85779503610082219</v>
      </c>
      <c r="R116" s="25">
        <f t="shared" ca="1" si="12"/>
        <v>3</v>
      </c>
      <c r="S116" s="12">
        <f t="shared" ca="1" si="13"/>
        <v>300</v>
      </c>
    </row>
    <row r="117" spans="11:19" x14ac:dyDescent="0.2">
      <c r="K117" s="5">
        <v>109</v>
      </c>
      <c r="L117" s="20">
        <f t="shared" ca="1" si="8"/>
        <v>0.94798703057724287</v>
      </c>
      <c r="M117" s="25">
        <f t="shared" ca="1" si="9"/>
        <v>4</v>
      </c>
      <c r="N117" s="12">
        <f t="shared" ca="1" si="10"/>
        <v>400</v>
      </c>
      <c r="P117" s="5">
        <v>109</v>
      </c>
      <c r="Q117" s="20">
        <f t="shared" ca="1" si="11"/>
        <v>0.84945780266151993</v>
      </c>
      <c r="R117" s="25">
        <f t="shared" ca="1" si="12"/>
        <v>3</v>
      </c>
      <c r="S117" s="12">
        <f t="shared" ca="1" si="13"/>
        <v>300</v>
      </c>
    </row>
    <row r="118" spans="11:19" x14ac:dyDescent="0.2">
      <c r="K118" s="5">
        <v>110</v>
      </c>
      <c r="L118" s="20">
        <f t="shared" ca="1" si="8"/>
        <v>0.66212784764443922</v>
      </c>
      <c r="M118" s="25">
        <f t="shared" ca="1" si="9"/>
        <v>2</v>
      </c>
      <c r="N118" s="12">
        <f t="shared" ca="1" si="10"/>
        <v>200</v>
      </c>
      <c r="P118" s="5">
        <v>110</v>
      </c>
      <c r="Q118" s="20">
        <f t="shared" ca="1" si="11"/>
        <v>0.70135904709500951</v>
      </c>
      <c r="R118" s="25">
        <f t="shared" ca="1" si="12"/>
        <v>2</v>
      </c>
      <c r="S118" s="12">
        <f t="shared" ca="1" si="13"/>
        <v>200</v>
      </c>
    </row>
    <row r="119" spans="11:19" x14ac:dyDescent="0.2">
      <c r="K119" s="5">
        <v>111</v>
      </c>
      <c r="L119" s="20">
        <f t="shared" ca="1" si="8"/>
        <v>0.12713550626648129</v>
      </c>
      <c r="M119" s="25">
        <f t="shared" ca="1" si="9"/>
        <v>1</v>
      </c>
      <c r="N119" s="12">
        <f t="shared" ca="1" si="10"/>
        <v>100</v>
      </c>
      <c r="P119" s="5">
        <v>111</v>
      </c>
      <c r="Q119" s="20">
        <f t="shared" ca="1" si="11"/>
        <v>0.77092633793635956</v>
      </c>
      <c r="R119" s="25">
        <f t="shared" ca="1" si="12"/>
        <v>3</v>
      </c>
      <c r="S119" s="12">
        <f t="shared" ca="1" si="13"/>
        <v>300</v>
      </c>
    </row>
    <row r="120" spans="11:19" x14ac:dyDescent="0.2">
      <c r="K120" s="5">
        <v>112</v>
      </c>
      <c r="L120" s="20">
        <f t="shared" ca="1" si="8"/>
        <v>0.50259782547597898</v>
      </c>
      <c r="M120" s="25">
        <f t="shared" ca="1" si="9"/>
        <v>2</v>
      </c>
      <c r="N120" s="12">
        <f t="shared" ca="1" si="10"/>
        <v>200</v>
      </c>
      <c r="P120" s="5">
        <v>112</v>
      </c>
      <c r="Q120" s="20">
        <f t="shared" ca="1" si="11"/>
        <v>0.34797899056911785</v>
      </c>
      <c r="R120" s="25">
        <f t="shared" ca="1" si="12"/>
        <v>1</v>
      </c>
      <c r="S120" s="12">
        <f t="shared" ca="1" si="13"/>
        <v>100</v>
      </c>
    </row>
    <row r="121" spans="11:19" x14ac:dyDescent="0.2">
      <c r="K121" s="5">
        <v>113</v>
      </c>
      <c r="L121" s="20">
        <f t="shared" ca="1" si="8"/>
        <v>0.85629814968440521</v>
      </c>
      <c r="M121" s="25">
        <f t="shared" ca="1" si="9"/>
        <v>3</v>
      </c>
      <c r="N121" s="12">
        <f t="shared" ca="1" si="10"/>
        <v>300</v>
      </c>
      <c r="P121" s="5">
        <v>113</v>
      </c>
      <c r="Q121" s="20">
        <f t="shared" ca="1" si="11"/>
        <v>0.82180478117270472</v>
      </c>
      <c r="R121" s="25">
        <f t="shared" ca="1" si="12"/>
        <v>3</v>
      </c>
      <c r="S121" s="12">
        <f t="shared" ca="1" si="13"/>
        <v>300</v>
      </c>
    </row>
    <row r="122" spans="11:19" x14ac:dyDescent="0.2">
      <c r="K122" s="5">
        <v>114</v>
      </c>
      <c r="L122" s="20">
        <f t="shared" ca="1" si="8"/>
        <v>0.81807412376309641</v>
      </c>
      <c r="M122" s="25">
        <f t="shared" ca="1" si="9"/>
        <v>3</v>
      </c>
      <c r="N122" s="12">
        <f t="shared" ca="1" si="10"/>
        <v>300</v>
      </c>
      <c r="P122" s="5">
        <v>114</v>
      </c>
      <c r="Q122" s="20">
        <f t="shared" ca="1" si="11"/>
        <v>0.74435113574463185</v>
      </c>
      <c r="R122" s="25">
        <f t="shared" ca="1" si="12"/>
        <v>2</v>
      </c>
      <c r="S122" s="12">
        <f t="shared" ca="1" si="13"/>
        <v>200</v>
      </c>
    </row>
    <row r="123" spans="11:19" x14ac:dyDescent="0.2">
      <c r="K123" s="5">
        <v>115</v>
      </c>
      <c r="L123" s="20">
        <f t="shared" ca="1" si="8"/>
        <v>0.1809814414749823</v>
      </c>
      <c r="M123" s="25">
        <f t="shared" ca="1" si="9"/>
        <v>1</v>
      </c>
      <c r="N123" s="12">
        <f t="shared" ca="1" si="10"/>
        <v>100</v>
      </c>
      <c r="P123" s="5">
        <v>115</v>
      </c>
      <c r="Q123" s="20">
        <f t="shared" ca="1" si="11"/>
        <v>0.90266560659437289</v>
      </c>
      <c r="R123" s="25">
        <f t="shared" ca="1" si="12"/>
        <v>4</v>
      </c>
      <c r="S123" s="12">
        <f t="shared" ca="1" si="13"/>
        <v>400</v>
      </c>
    </row>
    <row r="124" spans="11:19" x14ac:dyDescent="0.2">
      <c r="K124" s="5">
        <v>116</v>
      </c>
      <c r="L124" s="20">
        <f t="shared" ca="1" si="8"/>
        <v>0.89276388139953389</v>
      </c>
      <c r="M124" s="25">
        <f t="shared" ca="1" si="9"/>
        <v>3</v>
      </c>
      <c r="N124" s="12">
        <f t="shared" ca="1" si="10"/>
        <v>300</v>
      </c>
      <c r="P124" s="5">
        <v>116</v>
      </c>
      <c r="Q124" s="20">
        <f t="shared" ca="1" si="11"/>
        <v>0.97761201430194045</v>
      </c>
      <c r="R124" s="25">
        <f t="shared" ca="1" si="12"/>
        <v>4</v>
      </c>
      <c r="S124" s="12">
        <f t="shared" ca="1" si="13"/>
        <v>400</v>
      </c>
    </row>
    <row r="125" spans="11:19" x14ac:dyDescent="0.2">
      <c r="K125" s="5">
        <v>117</v>
      </c>
      <c r="L125" s="20">
        <f t="shared" ca="1" si="8"/>
        <v>0.71162126053831243</v>
      </c>
      <c r="M125" s="25">
        <f t="shared" ca="1" si="9"/>
        <v>2</v>
      </c>
      <c r="N125" s="12">
        <f t="shared" ca="1" si="10"/>
        <v>200</v>
      </c>
      <c r="P125" s="5">
        <v>117</v>
      </c>
      <c r="Q125" s="20">
        <f t="shared" ca="1" si="11"/>
        <v>0.32623917715441031</v>
      </c>
      <c r="R125" s="25">
        <f t="shared" ca="1" si="12"/>
        <v>1</v>
      </c>
      <c r="S125" s="12">
        <f t="shared" ca="1" si="13"/>
        <v>100</v>
      </c>
    </row>
    <row r="126" spans="11:19" x14ac:dyDescent="0.2">
      <c r="K126" s="5">
        <v>118</v>
      </c>
      <c r="L126" s="20">
        <f t="shared" ca="1" si="8"/>
        <v>0.16405824662836133</v>
      </c>
      <c r="M126" s="25">
        <f t="shared" ca="1" si="9"/>
        <v>1</v>
      </c>
      <c r="N126" s="12">
        <f t="shared" ca="1" si="10"/>
        <v>100</v>
      </c>
      <c r="P126" s="5">
        <v>118</v>
      </c>
      <c r="Q126" s="20">
        <f t="shared" ca="1" si="11"/>
        <v>0.43331529162393412</v>
      </c>
      <c r="R126" s="25">
        <f t="shared" ca="1" si="12"/>
        <v>1</v>
      </c>
      <c r="S126" s="12">
        <f t="shared" ca="1" si="13"/>
        <v>100</v>
      </c>
    </row>
    <row r="127" spans="11:19" x14ac:dyDescent="0.2">
      <c r="K127" s="5">
        <v>119</v>
      </c>
      <c r="L127" s="20">
        <f t="shared" ca="1" si="8"/>
        <v>0.56541460649042485</v>
      </c>
      <c r="M127" s="25">
        <f t="shared" ca="1" si="9"/>
        <v>2</v>
      </c>
      <c r="N127" s="12">
        <f t="shared" ca="1" si="10"/>
        <v>200</v>
      </c>
      <c r="P127" s="5">
        <v>119</v>
      </c>
      <c r="Q127" s="20">
        <f t="shared" ca="1" si="11"/>
        <v>0.52338812918808775</v>
      </c>
      <c r="R127" s="25">
        <f t="shared" ca="1" si="12"/>
        <v>2</v>
      </c>
      <c r="S127" s="12">
        <f t="shared" ca="1" si="13"/>
        <v>200</v>
      </c>
    </row>
    <row r="128" spans="11:19" x14ac:dyDescent="0.2">
      <c r="K128" s="5">
        <v>120</v>
      </c>
      <c r="L128" s="20">
        <f t="shared" ca="1" si="8"/>
        <v>0.17272856495440836</v>
      </c>
      <c r="M128" s="25">
        <f t="shared" ca="1" si="9"/>
        <v>1</v>
      </c>
      <c r="N128" s="12">
        <f t="shared" ca="1" si="10"/>
        <v>100</v>
      </c>
      <c r="P128" s="5">
        <v>120</v>
      </c>
      <c r="Q128" s="20">
        <f t="shared" ca="1" si="11"/>
        <v>7.138075453573578E-2</v>
      </c>
      <c r="R128" s="25">
        <f t="shared" ca="1" si="12"/>
        <v>0</v>
      </c>
      <c r="S128" s="12">
        <f t="shared" ca="1" si="13"/>
        <v>0</v>
      </c>
    </row>
    <row r="129" spans="11:19" x14ac:dyDescent="0.2">
      <c r="K129" s="5">
        <v>121</v>
      </c>
      <c r="L129" s="20">
        <f t="shared" ca="1" si="8"/>
        <v>0.79067661876347484</v>
      </c>
      <c r="M129" s="25">
        <f t="shared" ca="1" si="9"/>
        <v>3</v>
      </c>
      <c r="N129" s="12">
        <f t="shared" ca="1" si="10"/>
        <v>300</v>
      </c>
      <c r="P129" s="5">
        <v>121</v>
      </c>
      <c r="Q129" s="20">
        <f t="shared" ca="1" si="11"/>
        <v>0.79529306918697684</v>
      </c>
      <c r="R129" s="25">
        <f t="shared" ca="1" si="12"/>
        <v>3</v>
      </c>
      <c r="S129" s="12">
        <f t="shared" ca="1" si="13"/>
        <v>300</v>
      </c>
    </row>
    <row r="130" spans="11:19" x14ac:dyDescent="0.2">
      <c r="K130" s="5">
        <v>122</v>
      </c>
      <c r="L130" s="20">
        <f t="shared" ca="1" si="8"/>
        <v>0.28644661634924051</v>
      </c>
      <c r="M130" s="25">
        <f t="shared" ca="1" si="9"/>
        <v>1</v>
      </c>
      <c r="N130" s="12">
        <f t="shared" ca="1" si="10"/>
        <v>100</v>
      </c>
      <c r="P130" s="5">
        <v>122</v>
      </c>
      <c r="Q130" s="20">
        <f t="shared" ca="1" si="11"/>
        <v>0.43421123511070581</v>
      </c>
      <c r="R130" s="25">
        <f t="shared" ca="1" si="12"/>
        <v>1</v>
      </c>
      <c r="S130" s="12">
        <f t="shared" ca="1" si="13"/>
        <v>100</v>
      </c>
    </row>
    <row r="131" spans="11:19" x14ac:dyDescent="0.2">
      <c r="K131" s="5">
        <v>123</v>
      </c>
      <c r="L131" s="20">
        <f t="shared" ca="1" si="8"/>
        <v>0.67755963255546636</v>
      </c>
      <c r="M131" s="25">
        <f t="shared" ca="1" si="9"/>
        <v>2</v>
      </c>
      <c r="N131" s="12">
        <f t="shared" ca="1" si="10"/>
        <v>200</v>
      </c>
      <c r="P131" s="5">
        <v>123</v>
      </c>
      <c r="Q131" s="20">
        <f t="shared" ca="1" si="11"/>
        <v>0.82301760143536362</v>
      </c>
      <c r="R131" s="25">
        <f t="shared" ca="1" si="12"/>
        <v>3</v>
      </c>
      <c r="S131" s="12">
        <f t="shared" ca="1" si="13"/>
        <v>300</v>
      </c>
    </row>
    <row r="132" spans="11:19" x14ac:dyDescent="0.2">
      <c r="K132" s="5">
        <v>124</v>
      </c>
      <c r="L132" s="20">
        <f t="shared" ca="1" si="8"/>
        <v>0.80214221856392542</v>
      </c>
      <c r="M132" s="25">
        <f t="shared" ca="1" si="9"/>
        <v>3</v>
      </c>
      <c r="N132" s="12">
        <f t="shared" ca="1" si="10"/>
        <v>300</v>
      </c>
      <c r="P132" s="5">
        <v>124</v>
      </c>
      <c r="Q132" s="20">
        <f t="shared" ca="1" si="11"/>
        <v>0.50142189761520217</v>
      </c>
      <c r="R132" s="25">
        <f t="shared" ca="1" si="12"/>
        <v>2</v>
      </c>
      <c r="S132" s="12">
        <f t="shared" ca="1" si="13"/>
        <v>200</v>
      </c>
    </row>
    <row r="133" spans="11:19" x14ac:dyDescent="0.2">
      <c r="K133" s="5">
        <v>125</v>
      </c>
      <c r="L133" s="20">
        <f t="shared" ca="1" si="8"/>
        <v>0.70446532024069453</v>
      </c>
      <c r="M133" s="25">
        <f t="shared" ca="1" si="9"/>
        <v>2</v>
      </c>
      <c r="N133" s="12">
        <f t="shared" ca="1" si="10"/>
        <v>200</v>
      </c>
      <c r="P133" s="5">
        <v>125</v>
      </c>
      <c r="Q133" s="20">
        <f t="shared" ca="1" si="11"/>
        <v>0.92087132128316085</v>
      </c>
      <c r="R133" s="25">
        <f t="shared" ca="1" si="12"/>
        <v>4</v>
      </c>
      <c r="S133" s="12">
        <f t="shared" ca="1" si="13"/>
        <v>400</v>
      </c>
    </row>
    <row r="134" spans="11:19" x14ac:dyDescent="0.2">
      <c r="K134" s="5">
        <v>126</v>
      </c>
      <c r="L134" s="20">
        <f t="shared" ca="1" si="8"/>
        <v>0.15293978404257402</v>
      </c>
      <c r="M134" s="25">
        <f t="shared" ca="1" si="9"/>
        <v>1</v>
      </c>
      <c r="N134" s="12">
        <f t="shared" ca="1" si="10"/>
        <v>100</v>
      </c>
      <c r="P134" s="5">
        <v>126</v>
      </c>
      <c r="Q134" s="20">
        <f t="shared" ca="1" si="11"/>
        <v>0.46777797661027343</v>
      </c>
      <c r="R134" s="25">
        <f t="shared" ca="1" si="12"/>
        <v>1</v>
      </c>
      <c r="S134" s="12">
        <f t="shared" ca="1" si="13"/>
        <v>100</v>
      </c>
    </row>
    <row r="135" spans="11:19" x14ac:dyDescent="0.2">
      <c r="K135" s="5">
        <v>127</v>
      </c>
      <c r="L135" s="20">
        <f t="shared" ca="1" si="8"/>
        <v>5.4353267378539627E-3</v>
      </c>
      <c r="M135" s="25">
        <f t="shared" ca="1" si="9"/>
        <v>0</v>
      </c>
      <c r="N135" s="12">
        <f t="shared" ca="1" si="10"/>
        <v>0</v>
      </c>
      <c r="P135" s="5">
        <v>127</v>
      </c>
      <c r="Q135" s="20">
        <f t="shared" ca="1" si="11"/>
        <v>0.88638003976052349</v>
      </c>
      <c r="R135" s="25">
        <f t="shared" ca="1" si="12"/>
        <v>3</v>
      </c>
      <c r="S135" s="12">
        <f t="shared" ca="1" si="13"/>
        <v>300</v>
      </c>
    </row>
    <row r="136" spans="11:19" x14ac:dyDescent="0.2">
      <c r="K136" s="5">
        <v>128</v>
      </c>
      <c r="L136" s="20">
        <f t="shared" ca="1" si="8"/>
        <v>0.73035523641461608</v>
      </c>
      <c r="M136" s="25">
        <f t="shared" ca="1" si="9"/>
        <v>2</v>
      </c>
      <c r="N136" s="12">
        <f t="shared" ca="1" si="10"/>
        <v>200</v>
      </c>
      <c r="P136" s="5">
        <v>128</v>
      </c>
      <c r="Q136" s="20">
        <f t="shared" ca="1" si="11"/>
        <v>0.37986469165774406</v>
      </c>
      <c r="R136" s="25">
        <f t="shared" ca="1" si="12"/>
        <v>1</v>
      </c>
      <c r="S136" s="12">
        <f t="shared" ca="1" si="13"/>
        <v>100</v>
      </c>
    </row>
    <row r="137" spans="11:19" x14ac:dyDescent="0.2">
      <c r="K137" s="5">
        <v>129</v>
      </c>
      <c r="L137" s="20">
        <f t="shared" ca="1" si="8"/>
        <v>1.3366092540525343E-2</v>
      </c>
      <c r="M137" s="25">
        <f t="shared" ca="1" si="9"/>
        <v>0</v>
      </c>
      <c r="N137" s="12">
        <f t="shared" ca="1" si="10"/>
        <v>0</v>
      </c>
      <c r="P137" s="5">
        <v>129</v>
      </c>
      <c r="Q137" s="20">
        <f t="shared" ca="1" si="11"/>
        <v>0.40052586190986295</v>
      </c>
      <c r="R137" s="25">
        <f t="shared" ca="1" si="12"/>
        <v>1</v>
      </c>
      <c r="S137" s="12">
        <f t="shared" ca="1" si="13"/>
        <v>100</v>
      </c>
    </row>
    <row r="138" spans="11:19" x14ac:dyDescent="0.2">
      <c r="K138" s="5">
        <v>130</v>
      </c>
      <c r="L138" s="20">
        <f t="shared" ca="1" si="8"/>
        <v>0.3830788162715163</v>
      </c>
      <c r="M138" s="25">
        <f t="shared" ca="1" si="9"/>
        <v>1</v>
      </c>
      <c r="N138" s="12">
        <f t="shared" ca="1" si="10"/>
        <v>100</v>
      </c>
      <c r="P138" s="5">
        <v>130</v>
      </c>
      <c r="Q138" s="20">
        <f t="shared" ca="1" si="11"/>
        <v>0.27311997966196344</v>
      </c>
      <c r="R138" s="25">
        <f t="shared" ca="1" si="12"/>
        <v>1</v>
      </c>
      <c r="S138" s="12">
        <f t="shared" ca="1" si="13"/>
        <v>100</v>
      </c>
    </row>
    <row r="139" spans="11:19" x14ac:dyDescent="0.2">
      <c r="K139" s="5">
        <v>131</v>
      </c>
      <c r="L139" s="20">
        <f t="shared" ca="1" si="8"/>
        <v>0.98039809347400608</v>
      </c>
      <c r="M139" s="25">
        <f t="shared" ca="1" si="9"/>
        <v>4</v>
      </c>
      <c r="N139" s="12">
        <f t="shared" ca="1" si="10"/>
        <v>400</v>
      </c>
      <c r="P139" s="5">
        <v>131</v>
      </c>
      <c r="Q139" s="20">
        <f t="shared" ca="1" si="11"/>
        <v>0.58181383087754301</v>
      </c>
      <c r="R139" s="25">
        <f t="shared" ca="1" si="12"/>
        <v>2</v>
      </c>
      <c r="S139" s="12">
        <f t="shared" ca="1" si="13"/>
        <v>200</v>
      </c>
    </row>
    <row r="140" spans="11:19" x14ac:dyDescent="0.2">
      <c r="K140" s="5">
        <v>132</v>
      </c>
      <c r="L140" s="20">
        <f t="shared" ca="1" si="8"/>
        <v>0.1164425664341433</v>
      </c>
      <c r="M140" s="25">
        <f t="shared" ca="1" si="9"/>
        <v>1</v>
      </c>
      <c r="N140" s="12">
        <f t="shared" ca="1" si="10"/>
        <v>100</v>
      </c>
      <c r="P140" s="5">
        <v>132</v>
      </c>
      <c r="Q140" s="20">
        <f t="shared" ca="1" si="11"/>
        <v>0.37903282511558478</v>
      </c>
      <c r="R140" s="25">
        <f t="shared" ca="1" si="12"/>
        <v>1</v>
      </c>
      <c r="S140" s="12">
        <f t="shared" ca="1" si="13"/>
        <v>100</v>
      </c>
    </row>
    <row r="141" spans="11:19" x14ac:dyDescent="0.2">
      <c r="K141" s="5">
        <v>133</v>
      </c>
      <c r="L141" s="20">
        <f t="shared" ca="1" si="8"/>
        <v>0.30213388137731445</v>
      </c>
      <c r="M141" s="25">
        <f t="shared" ca="1" si="9"/>
        <v>1</v>
      </c>
      <c r="N141" s="12">
        <f t="shared" ca="1" si="10"/>
        <v>100</v>
      </c>
      <c r="P141" s="5">
        <v>133</v>
      </c>
      <c r="Q141" s="20">
        <f t="shared" ca="1" si="11"/>
        <v>0.95121972236087204</v>
      </c>
      <c r="R141" s="25">
        <f t="shared" ca="1" si="12"/>
        <v>4</v>
      </c>
      <c r="S141" s="12">
        <f t="shared" ca="1" si="13"/>
        <v>400</v>
      </c>
    </row>
    <row r="142" spans="11:19" x14ac:dyDescent="0.2">
      <c r="K142" s="5">
        <v>134</v>
      </c>
      <c r="L142" s="20">
        <f t="shared" ref="L142:L203" ca="1" si="14">RAND()</f>
        <v>0.7388029927915909</v>
      </c>
      <c r="M142" s="25">
        <f t="shared" ref="M142:M203" ca="1" si="15">VLOOKUP(L142,$H$6:$I$10,2)</f>
        <v>2</v>
      </c>
      <c r="N142" s="12">
        <f t="shared" ref="N142:N203" ca="1" si="16">M142*100</f>
        <v>200</v>
      </c>
      <c r="P142" s="5">
        <v>134</v>
      </c>
      <c r="Q142" s="20">
        <f t="shared" ref="Q142:Q203" ca="1" si="17">RAND()</f>
        <v>9.2887489211231022E-2</v>
      </c>
      <c r="R142" s="25">
        <f t="shared" ref="R142:R203" ca="1" si="18">VLOOKUP(Q142,$H$6:$I$10,2)</f>
        <v>0</v>
      </c>
      <c r="S142" s="12">
        <f t="shared" ref="S142:S203" ca="1" si="19">R142*100</f>
        <v>0</v>
      </c>
    </row>
    <row r="143" spans="11:19" x14ac:dyDescent="0.2">
      <c r="K143" s="5">
        <v>135</v>
      </c>
      <c r="L143" s="20">
        <f t="shared" ca="1" si="14"/>
        <v>0.7490156948522243</v>
      </c>
      <c r="M143" s="25">
        <f t="shared" ca="1" si="15"/>
        <v>2</v>
      </c>
      <c r="N143" s="12">
        <f t="shared" ca="1" si="16"/>
        <v>200</v>
      </c>
      <c r="P143" s="5">
        <v>135</v>
      </c>
      <c r="Q143" s="20">
        <f t="shared" ca="1" si="17"/>
        <v>0.34111639787360171</v>
      </c>
      <c r="R143" s="25">
        <f t="shared" ca="1" si="18"/>
        <v>1</v>
      </c>
      <c r="S143" s="12">
        <f t="shared" ca="1" si="19"/>
        <v>100</v>
      </c>
    </row>
    <row r="144" spans="11:19" x14ac:dyDescent="0.2">
      <c r="K144" s="5">
        <v>136</v>
      </c>
      <c r="L144" s="20">
        <f t="shared" ca="1" si="14"/>
        <v>5.1144745955794879E-2</v>
      </c>
      <c r="M144" s="25">
        <f t="shared" ca="1" si="15"/>
        <v>0</v>
      </c>
      <c r="N144" s="12">
        <f t="shared" ca="1" si="16"/>
        <v>0</v>
      </c>
      <c r="P144" s="5">
        <v>136</v>
      </c>
      <c r="Q144" s="20">
        <f t="shared" ca="1" si="17"/>
        <v>0.19560020122296784</v>
      </c>
      <c r="R144" s="25">
        <f t="shared" ca="1" si="18"/>
        <v>1</v>
      </c>
      <c r="S144" s="12">
        <f t="shared" ca="1" si="19"/>
        <v>100</v>
      </c>
    </row>
    <row r="145" spans="11:19" x14ac:dyDescent="0.2">
      <c r="K145" s="5">
        <v>137</v>
      </c>
      <c r="L145" s="20">
        <f t="shared" ca="1" si="14"/>
        <v>0.97816636982528193</v>
      </c>
      <c r="M145" s="25">
        <f t="shared" ca="1" si="15"/>
        <v>4</v>
      </c>
      <c r="N145" s="12">
        <f t="shared" ca="1" si="16"/>
        <v>400</v>
      </c>
      <c r="P145" s="5">
        <v>137</v>
      </c>
      <c r="Q145" s="20">
        <f t="shared" ca="1" si="17"/>
        <v>0.79544104149495765</v>
      </c>
      <c r="R145" s="25">
        <f t="shared" ca="1" si="18"/>
        <v>3</v>
      </c>
      <c r="S145" s="12">
        <f t="shared" ca="1" si="19"/>
        <v>300</v>
      </c>
    </row>
    <row r="146" spans="11:19" x14ac:dyDescent="0.2">
      <c r="K146" s="5">
        <v>138</v>
      </c>
      <c r="L146" s="20">
        <f t="shared" ca="1" si="14"/>
        <v>9.8692851957444705E-2</v>
      </c>
      <c r="M146" s="25">
        <f t="shared" ca="1" si="15"/>
        <v>0</v>
      </c>
      <c r="N146" s="12">
        <f t="shared" ca="1" si="16"/>
        <v>0</v>
      </c>
      <c r="P146" s="5">
        <v>138</v>
      </c>
      <c r="Q146" s="20">
        <f t="shared" ca="1" si="17"/>
        <v>0.3382661469971413</v>
      </c>
      <c r="R146" s="25">
        <f t="shared" ca="1" si="18"/>
        <v>1</v>
      </c>
      <c r="S146" s="12">
        <f t="shared" ca="1" si="19"/>
        <v>100</v>
      </c>
    </row>
    <row r="147" spans="11:19" x14ac:dyDescent="0.2">
      <c r="K147" s="5">
        <v>139</v>
      </c>
      <c r="L147" s="20">
        <f t="shared" ca="1" si="14"/>
        <v>0.24899058066591384</v>
      </c>
      <c r="M147" s="25">
        <f t="shared" ca="1" si="15"/>
        <v>1</v>
      </c>
      <c r="N147" s="12">
        <f t="shared" ca="1" si="16"/>
        <v>100</v>
      </c>
      <c r="P147" s="5">
        <v>139</v>
      </c>
      <c r="Q147" s="20">
        <f t="shared" ca="1" si="17"/>
        <v>2.745877918186479E-3</v>
      </c>
      <c r="R147" s="25">
        <f t="shared" ca="1" si="18"/>
        <v>0</v>
      </c>
      <c r="S147" s="12">
        <f t="shared" ca="1" si="19"/>
        <v>0</v>
      </c>
    </row>
    <row r="148" spans="11:19" x14ac:dyDescent="0.2">
      <c r="K148" s="5">
        <v>140</v>
      </c>
      <c r="L148" s="20">
        <f t="shared" ca="1" si="14"/>
        <v>0.90712267025713744</v>
      </c>
      <c r="M148" s="25">
        <f t="shared" ca="1" si="15"/>
        <v>4</v>
      </c>
      <c r="N148" s="12">
        <f t="shared" ca="1" si="16"/>
        <v>400</v>
      </c>
      <c r="P148" s="5">
        <v>140</v>
      </c>
      <c r="Q148" s="20">
        <f t="shared" ca="1" si="17"/>
        <v>0.71978940295884741</v>
      </c>
      <c r="R148" s="25">
        <f t="shared" ca="1" si="18"/>
        <v>2</v>
      </c>
      <c r="S148" s="12">
        <f t="shared" ca="1" si="19"/>
        <v>200</v>
      </c>
    </row>
    <row r="149" spans="11:19" x14ac:dyDescent="0.2">
      <c r="K149" s="5">
        <v>141</v>
      </c>
      <c r="L149" s="20">
        <f t="shared" ca="1" si="14"/>
        <v>0.80172673200449329</v>
      </c>
      <c r="M149" s="25">
        <f t="shared" ca="1" si="15"/>
        <v>3</v>
      </c>
      <c r="N149" s="12">
        <f t="shared" ca="1" si="16"/>
        <v>300</v>
      </c>
      <c r="P149" s="5">
        <v>141</v>
      </c>
      <c r="Q149" s="20">
        <f t="shared" ca="1" si="17"/>
        <v>0.76967167611871956</v>
      </c>
      <c r="R149" s="25">
        <f t="shared" ca="1" si="18"/>
        <v>3</v>
      </c>
      <c r="S149" s="12">
        <f t="shared" ca="1" si="19"/>
        <v>300</v>
      </c>
    </row>
    <row r="150" spans="11:19" x14ac:dyDescent="0.2">
      <c r="K150" s="5">
        <v>142</v>
      </c>
      <c r="L150" s="20">
        <f t="shared" ca="1" si="14"/>
        <v>0.75291095085504878</v>
      </c>
      <c r="M150" s="25">
        <f t="shared" ca="1" si="15"/>
        <v>3</v>
      </c>
      <c r="N150" s="12">
        <f t="shared" ca="1" si="16"/>
        <v>300</v>
      </c>
      <c r="P150" s="5">
        <v>142</v>
      </c>
      <c r="Q150" s="20">
        <f t="shared" ca="1" si="17"/>
        <v>3.13336430423512E-2</v>
      </c>
      <c r="R150" s="25">
        <f t="shared" ca="1" si="18"/>
        <v>0</v>
      </c>
      <c r="S150" s="12">
        <f t="shared" ca="1" si="19"/>
        <v>0</v>
      </c>
    </row>
    <row r="151" spans="11:19" x14ac:dyDescent="0.2">
      <c r="K151" s="5">
        <v>143</v>
      </c>
      <c r="L151" s="20">
        <f t="shared" ca="1" si="14"/>
        <v>0.28371773577810067</v>
      </c>
      <c r="M151" s="25">
        <f t="shared" ca="1" si="15"/>
        <v>1</v>
      </c>
      <c r="N151" s="12">
        <f t="shared" ca="1" si="16"/>
        <v>100</v>
      </c>
      <c r="P151" s="5">
        <v>143</v>
      </c>
      <c r="Q151" s="20">
        <f t="shared" ca="1" si="17"/>
        <v>0.23711139843994078</v>
      </c>
      <c r="R151" s="25">
        <f t="shared" ca="1" si="18"/>
        <v>1</v>
      </c>
      <c r="S151" s="12">
        <f t="shared" ca="1" si="19"/>
        <v>100</v>
      </c>
    </row>
    <row r="152" spans="11:19" x14ac:dyDescent="0.2">
      <c r="K152" s="5">
        <v>144</v>
      </c>
      <c r="L152" s="20">
        <f t="shared" ca="1" si="14"/>
        <v>0.77931654807426565</v>
      </c>
      <c r="M152" s="25">
        <f t="shared" ca="1" si="15"/>
        <v>3</v>
      </c>
      <c r="N152" s="12">
        <f t="shared" ca="1" si="16"/>
        <v>300</v>
      </c>
      <c r="P152" s="5">
        <v>144</v>
      </c>
      <c r="Q152" s="20">
        <f t="shared" ca="1" si="17"/>
        <v>0.9364664316838871</v>
      </c>
      <c r="R152" s="25">
        <f t="shared" ca="1" si="18"/>
        <v>4</v>
      </c>
      <c r="S152" s="12">
        <f t="shared" ca="1" si="19"/>
        <v>400</v>
      </c>
    </row>
    <row r="153" spans="11:19" x14ac:dyDescent="0.2">
      <c r="K153" s="5">
        <v>145</v>
      </c>
      <c r="L153" s="20">
        <f t="shared" ca="1" si="14"/>
        <v>0.61029816782621926</v>
      </c>
      <c r="M153" s="25">
        <f t="shared" ca="1" si="15"/>
        <v>2</v>
      </c>
      <c r="N153" s="12">
        <f t="shared" ca="1" si="16"/>
        <v>200</v>
      </c>
      <c r="P153" s="5">
        <v>145</v>
      </c>
      <c r="Q153" s="20">
        <f t="shared" ca="1" si="17"/>
        <v>0.38534292634060752</v>
      </c>
      <c r="R153" s="25">
        <f t="shared" ca="1" si="18"/>
        <v>1</v>
      </c>
      <c r="S153" s="12">
        <f t="shared" ca="1" si="19"/>
        <v>100</v>
      </c>
    </row>
    <row r="154" spans="11:19" x14ac:dyDescent="0.2">
      <c r="K154" s="5">
        <v>146</v>
      </c>
      <c r="L154" s="20">
        <f t="shared" ca="1" si="14"/>
        <v>0.63247114251766778</v>
      </c>
      <c r="M154" s="25">
        <f t="shared" ca="1" si="15"/>
        <v>2</v>
      </c>
      <c r="N154" s="12">
        <f t="shared" ca="1" si="16"/>
        <v>200</v>
      </c>
      <c r="P154" s="5">
        <v>146</v>
      </c>
      <c r="Q154" s="20">
        <f t="shared" ca="1" si="17"/>
        <v>0.80867999297733673</v>
      </c>
      <c r="R154" s="25">
        <f t="shared" ca="1" si="18"/>
        <v>3</v>
      </c>
      <c r="S154" s="12">
        <f t="shared" ca="1" si="19"/>
        <v>300</v>
      </c>
    </row>
    <row r="155" spans="11:19" x14ac:dyDescent="0.2">
      <c r="K155" s="5">
        <v>147</v>
      </c>
      <c r="L155" s="20">
        <f t="shared" ca="1" si="14"/>
        <v>0.89310943398647258</v>
      </c>
      <c r="M155" s="25">
        <f t="shared" ca="1" si="15"/>
        <v>3</v>
      </c>
      <c r="N155" s="12">
        <f t="shared" ca="1" si="16"/>
        <v>300</v>
      </c>
      <c r="P155" s="5">
        <v>147</v>
      </c>
      <c r="Q155" s="20">
        <f t="shared" ca="1" si="17"/>
        <v>0.80710132529058587</v>
      </c>
      <c r="R155" s="25">
        <f t="shared" ca="1" si="18"/>
        <v>3</v>
      </c>
      <c r="S155" s="12">
        <f t="shared" ca="1" si="19"/>
        <v>300</v>
      </c>
    </row>
    <row r="156" spans="11:19" x14ac:dyDescent="0.2">
      <c r="K156" s="5">
        <v>148</v>
      </c>
      <c r="L156" s="20">
        <f t="shared" ca="1" si="14"/>
        <v>0.32502526995137215</v>
      </c>
      <c r="M156" s="25">
        <f t="shared" ca="1" si="15"/>
        <v>1</v>
      </c>
      <c r="N156" s="12">
        <f t="shared" ca="1" si="16"/>
        <v>100</v>
      </c>
      <c r="P156" s="5">
        <v>148</v>
      </c>
      <c r="Q156" s="20">
        <f t="shared" ca="1" si="17"/>
        <v>0.69665830907716564</v>
      </c>
      <c r="R156" s="25">
        <f t="shared" ca="1" si="18"/>
        <v>2</v>
      </c>
      <c r="S156" s="12">
        <f t="shared" ca="1" si="19"/>
        <v>200</v>
      </c>
    </row>
    <row r="157" spans="11:19" x14ac:dyDescent="0.2">
      <c r="K157" s="5">
        <v>149</v>
      </c>
      <c r="L157" s="20">
        <f t="shared" ca="1" si="14"/>
        <v>0.35940351726165232</v>
      </c>
      <c r="M157" s="25">
        <f t="shared" ca="1" si="15"/>
        <v>1</v>
      </c>
      <c r="N157" s="12">
        <f t="shared" ca="1" si="16"/>
        <v>100</v>
      </c>
      <c r="P157" s="5">
        <v>149</v>
      </c>
      <c r="Q157" s="20">
        <f t="shared" ca="1" si="17"/>
        <v>0.59041622214341283</v>
      </c>
      <c r="R157" s="25">
        <f t="shared" ca="1" si="18"/>
        <v>2</v>
      </c>
      <c r="S157" s="12">
        <f t="shared" ca="1" si="19"/>
        <v>200</v>
      </c>
    </row>
    <row r="158" spans="11:19" x14ac:dyDescent="0.2">
      <c r="K158" s="5">
        <v>150</v>
      </c>
      <c r="L158" s="20">
        <f t="shared" ca="1" si="14"/>
        <v>9.546852571855069E-2</v>
      </c>
      <c r="M158" s="25">
        <f t="shared" ca="1" si="15"/>
        <v>0</v>
      </c>
      <c r="N158" s="12">
        <f t="shared" ca="1" si="16"/>
        <v>0</v>
      </c>
      <c r="P158" s="5">
        <v>150</v>
      </c>
      <c r="Q158" s="20">
        <f t="shared" ca="1" si="17"/>
        <v>0.75686416725275307</v>
      </c>
      <c r="R158" s="25">
        <f t="shared" ca="1" si="18"/>
        <v>3</v>
      </c>
      <c r="S158" s="12">
        <f t="shared" ca="1" si="19"/>
        <v>300</v>
      </c>
    </row>
    <row r="159" spans="11:19" x14ac:dyDescent="0.2">
      <c r="K159" s="5">
        <v>151</v>
      </c>
      <c r="L159" s="20">
        <f t="shared" ca="1" si="14"/>
        <v>0.41281672881934317</v>
      </c>
      <c r="M159" s="25">
        <f t="shared" ca="1" si="15"/>
        <v>1</v>
      </c>
      <c r="N159" s="12">
        <f t="shared" ca="1" si="16"/>
        <v>100</v>
      </c>
      <c r="P159" s="5">
        <v>151</v>
      </c>
      <c r="Q159" s="20">
        <f t="shared" ca="1" si="17"/>
        <v>5.0254889018321425E-2</v>
      </c>
      <c r="R159" s="25">
        <f t="shared" ca="1" si="18"/>
        <v>0</v>
      </c>
      <c r="S159" s="12">
        <f t="shared" ca="1" si="19"/>
        <v>0</v>
      </c>
    </row>
    <row r="160" spans="11:19" x14ac:dyDescent="0.2">
      <c r="K160" s="5">
        <v>152</v>
      </c>
      <c r="L160" s="20">
        <f t="shared" ca="1" si="14"/>
        <v>0.28484972877521841</v>
      </c>
      <c r="M160" s="25">
        <f t="shared" ca="1" si="15"/>
        <v>1</v>
      </c>
      <c r="N160" s="12">
        <f t="shared" ca="1" si="16"/>
        <v>100</v>
      </c>
      <c r="P160" s="5">
        <v>152</v>
      </c>
      <c r="Q160" s="20">
        <f t="shared" ca="1" si="17"/>
        <v>0.7216824281810994</v>
      </c>
      <c r="R160" s="25">
        <f t="shared" ca="1" si="18"/>
        <v>2</v>
      </c>
      <c r="S160" s="12">
        <f t="shared" ca="1" si="19"/>
        <v>200</v>
      </c>
    </row>
    <row r="161" spans="11:19" x14ac:dyDescent="0.2">
      <c r="K161" s="5">
        <v>153</v>
      </c>
      <c r="L161" s="20">
        <f t="shared" ca="1" si="14"/>
        <v>0.67607734318063006</v>
      </c>
      <c r="M161" s="25">
        <f t="shared" ca="1" si="15"/>
        <v>2</v>
      </c>
      <c r="N161" s="12">
        <f t="shared" ca="1" si="16"/>
        <v>200</v>
      </c>
      <c r="P161" s="5">
        <v>153</v>
      </c>
      <c r="Q161" s="20">
        <f t="shared" ca="1" si="17"/>
        <v>9.6203249714759131E-3</v>
      </c>
      <c r="R161" s="25">
        <f t="shared" ca="1" si="18"/>
        <v>0</v>
      </c>
      <c r="S161" s="12">
        <f t="shared" ca="1" si="19"/>
        <v>0</v>
      </c>
    </row>
    <row r="162" spans="11:19" x14ac:dyDescent="0.2">
      <c r="K162" s="5">
        <v>154</v>
      </c>
      <c r="L162" s="20">
        <f t="shared" ca="1" si="14"/>
        <v>0.17904652578723734</v>
      </c>
      <c r="M162" s="25">
        <f t="shared" ca="1" si="15"/>
        <v>1</v>
      </c>
      <c r="N162" s="12">
        <f t="shared" ca="1" si="16"/>
        <v>100</v>
      </c>
      <c r="P162" s="5">
        <v>154</v>
      </c>
      <c r="Q162" s="20">
        <f t="shared" ca="1" si="17"/>
        <v>0.31133633076752187</v>
      </c>
      <c r="R162" s="25">
        <f t="shared" ca="1" si="18"/>
        <v>1</v>
      </c>
      <c r="S162" s="12">
        <f t="shared" ca="1" si="19"/>
        <v>100</v>
      </c>
    </row>
    <row r="163" spans="11:19" x14ac:dyDescent="0.2">
      <c r="K163" s="5">
        <v>155</v>
      </c>
      <c r="L163" s="20">
        <f t="shared" ca="1" si="14"/>
        <v>7.8041711807672609E-3</v>
      </c>
      <c r="M163" s="25">
        <f t="shared" ca="1" si="15"/>
        <v>0</v>
      </c>
      <c r="N163" s="12">
        <f t="shared" ca="1" si="16"/>
        <v>0</v>
      </c>
      <c r="P163" s="5">
        <v>155</v>
      </c>
      <c r="Q163" s="20">
        <f t="shared" ca="1" si="17"/>
        <v>0.57069811606241072</v>
      </c>
      <c r="R163" s="25">
        <f t="shared" ca="1" si="18"/>
        <v>2</v>
      </c>
      <c r="S163" s="12">
        <f t="shared" ca="1" si="19"/>
        <v>200</v>
      </c>
    </row>
    <row r="164" spans="11:19" x14ac:dyDescent="0.2">
      <c r="K164" s="5">
        <v>156</v>
      </c>
      <c r="L164" s="20">
        <f t="shared" ca="1" si="14"/>
        <v>0.55743830152123675</v>
      </c>
      <c r="M164" s="25">
        <f t="shared" ca="1" si="15"/>
        <v>2</v>
      </c>
      <c r="N164" s="12">
        <f t="shared" ca="1" si="16"/>
        <v>200</v>
      </c>
      <c r="P164" s="5">
        <v>156</v>
      </c>
      <c r="Q164" s="20">
        <f t="shared" ca="1" si="17"/>
        <v>0.39945482333599436</v>
      </c>
      <c r="R164" s="25">
        <f t="shared" ca="1" si="18"/>
        <v>1</v>
      </c>
      <c r="S164" s="12">
        <f t="shared" ca="1" si="19"/>
        <v>100</v>
      </c>
    </row>
    <row r="165" spans="11:19" x14ac:dyDescent="0.2">
      <c r="K165" s="5">
        <v>157</v>
      </c>
      <c r="L165" s="20">
        <f t="shared" ca="1" si="14"/>
        <v>0.79882654930256602</v>
      </c>
      <c r="M165" s="25">
        <f t="shared" ca="1" si="15"/>
        <v>3</v>
      </c>
      <c r="N165" s="12">
        <f t="shared" ca="1" si="16"/>
        <v>300</v>
      </c>
      <c r="P165" s="5">
        <v>157</v>
      </c>
      <c r="Q165" s="20">
        <f t="shared" ca="1" si="17"/>
        <v>0.73641057402211973</v>
      </c>
      <c r="R165" s="25">
        <f t="shared" ca="1" si="18"/>
        <v>2</v>
      </c>
      <c r="S165" s="12">
        <f t="shared" ca="1" si="19"/>
        <v>200</v>
      </c>
    </row>
    <row r="166" spans="11:19" x14ac:dyDescent="0.2">
      <c r="K166" s="5">
        <v>158</v>
      </c>
      <c r="L166" s="20">
        <f t="shared" ca="1" si="14"/>
        <v>0.57555010129166273</v>
      </c>
      <c r="M166" s="25">
        <f t="shared" ca="1" si="15"/>
        <v>2</v>
      </c>
      <c r="N166" s="12">
        <f t="shared" ca="1" si="16"/>
        <v>200</v>
      </c>
      <c r="P166" s="5">
        <v>158</v>
      </c>
      <c r="Q166" s="20">
        <f t="shared" ca="1" si="17"/>
        <v>0.23469350511411713</v>
      </c>
      <c r="R166" s="25">
        <f t="shared" ca="1" si="18"/>
        <v>1</v>
      </c>
      <c r="S166" s="12">
        <f t="shared" ca="1" si="19"/>
        <v>100</v>
      </c>
    </row>
    <row r="167" spans="11:19" x14ac:dyDescent="0.2">
      <c r="K167" s="5">
        <v>159</v>
      </c>
      <c r="L167" s="20">
        <f t="shared" ca="1" si="14"/>
        <v>0.89549751613090289</v>
      </c>
      <c r="M167" s="25">
        <f t="shared" ca="1" si="15"/>
        <v>3</v>
      </c>
      <c r="N167" s="12">
        <f t="shared" ca="1" si="16"/>
        <v>300</v>
      </c>
      <c r="P167" s="5">
        <v>159</v>
      </c>
      <c r="Q167" s="20">
        <f t="shared" ca="1" si="17"/>
        <v>0.72381074721973993</v>
      </c>
      <c r="R167" s="25">
        <f t="shared" ca="1" si="18"/>
        <v>2</v>
      </c>
      <c r="S167" s="12">
        <f t="shared" ca="1" si="19"/>
        <v>200</v>
      </c>
    </row>
    <row r="168" spans="11:19" x14ac:dyDescent="0.2">
      <c r="K168" s="5">
        <v>160</v>
      </c>
      <c r="L168" s="20">
        <f t="shared" ca="1" si="14"/>
        <v>0.97470712186904607</v>
      </c>
      <c r="M168" s="25">
        <f t="shared" ca="1" si="15"/>
        <v>4</v>
      </c>
      <c r="N168" s="12">
        <f t="shared" ca="1" si="16"/>
        <v>400</v>
      </c>
      <c r="P168" s="5">
        <v>160</v>
      </c>
      <c r="Q168" s="20">
        <f t="shared" ca="1" si="17"/>
        <v>0.54800344331955708</v>
      </c>
      <c r="R168" s="25">
        <f t="shared" ca="1" si="18"/>
        <v>2</v>
      </c>
      <c r="S168" s="12">
        <f t="shared" ca="1" si="19"/>
        <v>200</v>
      </c>
    </row>
    <row r="169" spans="11:19" x14ac:dyDescent="0.2">
      <c r="K169" s="5">
        <v>161</v>
      </c>
      <c r="L169" s="20">
        <f t="shared" ca="1" si="14"/>
        <v>0.46369453500980695</v>
      </c>
      <c r="M169" s="25">
        <f t="shared" ca="1" si="15"/>
        <v>1</v>
      </c>
      <c r="N169" s="12">
        <f t="shared" ca="1" si="16"/>
        <v>100</v>
      </c>
      <c r="P169" s="5">
        <v>161</v>
      </c>
      <c r="Q169" s="20">
        <f t="shared" ca="1" si="17"/>
        <v>0.10466244723431539</v>
      </c>
      <c r="R169" s="25">
        <f t="shared" ca="1" si="18"/>
        <v>1</v>
      </c>
      <c r="S169" s="12">
        <f t="shared" ca="1" si="19"/>
        <v>100</v>
      </c>
    </row>
    <row r="170" spans="11:19" x14ac:dyDescent="0.2">
      <c r="K170" s="5">
        <v>162</v>
      </c>
      <c r="L170" s="20">
        <f t="shared" ca="1" si="14"/>
        <v>0.37198830518768922</v>
      </c>
      <c r="M170" s="25">
        <f t="shared" ca="1" si="15"/>
        <v>1</v>
      </c>
      <c r="N170" s="12">
        <f t="shared" ca="1" si="16"/>
        <v>100</v>
      </c>
      <c r="P170" s="5">
        <v>162</v>
      </c>
      <c r="Q170" s="20">
        <f t="shared" ca="1" si="17"/>
        <v>0.96137342225899225</v>
      </c>
      <c r="R170" s="25">
        <f t="shared" ca="1" si="18"/>
        <v>4</v>
      </c>
      <c r="S170" s="12">
        <f t="shared" ca="1" si="19"/>
        <v>400</v>
      </c>
    </row>
    <row r="171" spans="11:19" x14ac:dyDescent="0.2">
      <c r="K171" s="5">
        <v>163</v>
      </c>
      <c r="L171" s="20">
        <f t="shared" ca="1" si="14"/>
        <v>0.51971647930701226</v>
      </c>
      <c r="M171" s="25">
        <f t="shared" ca="1" si="15"/>
        <v>2</v>
      </c>
      <c r="N171" s="12">
        <f t="shared" ca="1" si="16"/>
        <v>200</v>
      </c>
      <c r="P171" s="5">
        <v>163</v>
      </c>
      <c r="Q171" s="20">
        <f t="shared" ca="1" si="17"/>
        <v>0.48132246676233637</v>
      </c>
      <c r="R171" s="25">
        <f t="shared" ca="1" si="18"/>
        <v>1</v>
      </c>
      <c r="S171" s="12">
        <f t="shared" ca="1" si="19"/>
        <v>100</v>
      </c>
    </row>
    <row r="172" spans="11:19" x14ac:dyDescent="0.2">
      <c r="K172" s="5">
        <v>164</v>
      </c>
      <c r="L172" s="20">
        <f t="shared" ca="1" si="14"/>
        <v>0.99544869992038409</v>
      </c>
      <c r="M172" s="25">
        <f t="shared" ca="1" si="15"/>
        <v>4</v>
      </c>
      <c r="N172" s="12">
        <f t="shared" ca="1" si="16"/>
        <v>400</v>
      </c>
      <c r="P172" s="5">
        <v>164</v>
      </c>
      <c r="Q172" s="20">
        <f t="shared" ca="1" si="17"/>
        <v>0.8740393083544763</v>
      </c>
      <c r="R172" s="25">
        <f t="shared" ca="1" si="18"/>
        <v>3</v>
      </c>
      <c r="S172" s="12">
        <f t="shared" ca="1" si="19"/>
        <v>300</v>
      </c>
    </row>
    <row r="173" spans="11:19" x14ac:dyDescent="0.2">
      <c r="K173" s="5">
        <v>165</v>
      </c>
      <c r="L173" s="20">
        <f t="shared" ca="1" si="14"/>
        <v>0.82772964235130086</v>
      </c>
      <c r="M173" s="25">
        <f t="shared" ca="1" si="15"/>
        <v>3</v>
      </c>
      <c r="N173" s="12">
        <f t="shared" ca="1" si="16"/>
        <v>300</v>
      </c>
      <c r="P173" s="5">
        <v>165</v>
      </c>
      <c r="Q173" s="20">
        <f t="shared" ca="1" si="17"/>
        <v>0.10690621488051588</v>
      </c>
      <c r="R173" s="25">
        <f t="shared" ca="1" si="18"/>
        <v>1</v>
      </c>
      <c r="S173" s="12">
        <f t="shared" ca="1" si="19"/>
        <v>100</v>
      </c>
    </row>
    <row r="174" spans="11:19" x14ac:dyDescent="0.2">
      <c r="K174" s="5">
        <v>166</v>
      </c>
      <c r="L174" s="20">
        <f t="shared" ca="1" si="14"/>
        <v>0.11885702663668318</v>
      </c>
      <c r="M174" s="25">
        <f t="shared" ca="1" si="15"/>
        <v>1</v>
      </c>
      <c r="N174" s="12">
        <f t="shared" ca="1" si="16"/>
        <v>100</v>
      </c>
      <c r="P174" s="5">
        <v>166</v>
      </c>
      <c r="Q174" s="20">
        <f t="shared" ca="1" si="17"/>
        <v>4.0101692747001039E-2</v>
      </c>
      <c r="R174" s="25">
        <f t="shared" ca="1" si="18"/>
        <v>0</v>
      </c>
      <c r="S174" s="12">
        <f t="shared" ca="1" si="19"/>
        <v>0</v>
      </c>
    </row>
    <row r="175" spans="11:19" x14ac:dyDescent="0.2">
      <c r="K175" s="5">
        <v>167</v>
      </c>
      <c r="L175" s="20">
        <f t="shared" ca="1" si="14"/>
        <v>0.96337246891531136</v>
      </c>
      <c r="M175" s="25">
        <f t="shared" ca="1" si="15"/>
        <v>4</v>
      </c>
      <c r="N175" s="12">
        <f t="shared" ca="1" si="16"/>
        <v>400</v>
      </c>
      <c r="P175" s="5">
        <v>167</v>
      </c>
      <c r="Q175" s="20">
        <f t="shared" ca="1" si="17"/>
        <v>7.8784669456609668E-3</v>
      </c>
      <c r="R175" s="25">
        <f t="shared" ca="1" si="18"/>
        <v>0</v>
      </c>
      <c r="S175" s="12">
        <f t="shared" ca="1" si="19"/>
        <v>0</v>
      </c>
    </row>
    <row r="176" spans="11:19" x14ac:dyDescent="0.2">
      <c r="K176" s="5">
        <v>168</v>
      </c>
      <c r="L176" s="20">
        <f t="shared" ca="1" si="14"/>
        <v>0.67085626500696771</v>
      </c>
      <c r="M176" s="25">
        <f t="shared" ca="1" si="15"/>
        <v>2</v>
      </c>
      <c r="N176" s="12">
        <f t="shared" ca="1" si="16"/>
        <v>200</v>
      </c>
      <c r="P176" s="5">
        <v>168</v>
      </c>
      <c r="Q176" s="20">
        <f t="shared" ca="1" si="17"/>
        <v>0.49875086125733481</v>
      </c>
      <c r="R176" s="25">
        <f t="shared" ca="1" si="18"/>
        <v>1</v>
      </c>
      <c r="S176" s="12">
        <f t="shared" ca="1" si="19"/>
        <v>100</v>
      </c>
    </row>
    <row r="177" spans="11:19" x14ac:dyDescent="0.2">
      <c r="K177" s="5">
        <v>169</v>
      </c>
      <c r="L177" s="20">
        <f t="shared" ca="1" si="14"/>
        <v>0.10281686998492512</v>
      </c>
      <c r="M177" s="25">
        <f t="shared" ca="1" si="15"/>
        <v>1</v>
      </c>
      <c r="N177" s="12">
        <f t="shared" ca="1" si="16"/>
        <v>100</v>
      </c>
      <c r="P177" s="5">
        <v>169</v>
      </c>
      <c r="Q177" s="20">
        <f t="shared" ca="1" si="17"/>
        <v>0.3785008028835436</v>
      </c>
      <c r="R177" s="25">
        <f t="shared" ca="1" si="18"/>
        <v>1</v>
      </c>
      <c r="S177" s="12">
        <f t="shared" ca="1" si="19"/>
        <v>100</v>
      </c>
    </row>
    <row r="178" spans="11:19" x14ac:dyDescent="0.2">
      <c r="K178" s="5">
        <v>170</v>
      </c>
      <c r="L178" s="20">
        <f t="shared" ca="1" si="14"/>
        <v>0.9886539139673961</v>
      </c>
      <c r="M178" s="25">
        <f t="shared" ca="1" si="15"/>
        <v>4</v>
      </c>
      <c r="N178" s="12">
        <f t="shared" ca="1" si="16"/>
        <v>400</v>
      </c>
      <c r="P178" s="5">
        <v>170</v>
      </c>
      <c r="Q178" s="20">
        <f t="shared" ca="1" si="17"/>
        <v>6.0199185271228139E-2</v>
      </c>
      <c r="R178" s="25">
        <f t="shared" ca="1" si="18"/>
        <v>0</v>
      </c>
      <c r="S178" s="12">
        <f t="shared" ca="1" si="19"/>
        <v>0</v>
      </c>
    </row>
    <row r="179" spans="11:19" x14ac:dyDescent="0.2">
      <c r="K179" s="5">
        <v>171</v>
      </c>
      <c r="L179" s="20">
        <f t="shared" ca="1" si="14"/>
        <v>0.86487304774955409</v>
      </c>
      <c r="M179" s="25">
        <f t="shared" ca="1" si="15"/>
        <v>3</v>
      </c>
      <c r="N179" s="12">
        <f t="shared" ca="1" si="16"/>
        <v>300</v>
      </c>
      <c r="P179" s="5">
        <v>171</v>
      </c>
      <c r="Q179" s="20">
        <f t="shared" ca="1" si="17"/>
        <v>0.34887786091581963</v>
      </c>
      <c r="R179" s="25">
        <f t="shared" ca="1" si="18"/>
        <v>1</v>
      </c>
      <c r="S179" s="12">
        <f t="shared" ca="1" si="19"/>
        <v>100</v>
      </c>
    </row>
    <row r="180" spans="11:19" x14ac:dyDescent="0.2">
      <c r="K180" s="5">
        <v>172</v>
      </c>
      <c r="L180" s="20">
        <f t="shared" ca="1" si="14"/>
        <v>0.63956446502600861</v>
      </c>
      <c r="M180" s="25">
        <f t="shared" ca="1" si="15"/>
        <v>2</v>
      </c>
      <c r="N180" s="12">
        <f t="shared" ca="1" si="16"/>
        <v>200</v>
      </c>
      <c r="P180" s="5">
        <v>172</v>
      </c>
      <c r="Q180" s="20">
        <f t="shared" ca="1" si="17"/>
        <v>0.15700691917049481</v>
      </c>
      <c r="R180" s="25">
        <f t="shared" ca="1" si="18"/>
        <v>1</v>
      </c>
      <c r="S180" s="12">
        <f t="shared" ca="1" si="19"/>
        <v>100</v>
      </c>
    </row>
    <row r="181" spans="11:19" x14ac:dyDescent="0.2">
      <c r="K181" s="5">
        <v>173</v>
      </c>
      <c r="L181" s="20">
        <f t="shared" ca="1" si="14"/>
        <v>0.90757172697632993</v>
      </c>
      <c r="M181" s="25">
        <f t="shared" ca="1" si="15"/>
        <v>4</v>
      </c>
      <c r="N181" s="12">
        <f t="shared" ca="1" si="16"/>
        <v>400</v>
      </c>
      <c r="P181" s="5">
        <v>173</v>
      </c>
      <c r="Q181" s="20">
        <f t="shared" ca="1" si="17"/>
        <v>6.1941302236437124E-2</v>
      </c>
      <c r="R181" s="25">
        <f t="shared" ca="1" si="18"/>
        <v>0</v>
      </c>
      <c r="S181" s="12">
        <f t="shared" ca="1" si="19"/>
        <v>0</v>
      </c>
    </row>
    <row r="182" spans="11:19" x14ac:dyDescent="0.2">
      <c r="K182" s="5">
        <v>174</v>
      </c>
      <c r="L182" s="20">
        <f t="shared" ca="1" si="14"/>
        <v>0.94488242729315564</v>
      </c>
      <c r="M182" s="25">
        <f t="shared" ca="1" si="15"/>
        <v>4</v>
      </c>
      <c r="N182" s="12">
        <f t="shared" ca="1" si="16"/>
        <v>400</v>
      </c>
      <c r="P182" s="5">
        <v>174</v>
      </c>
      <c r="Q182" s="20">
        <f t="shared" ca="1" si="17"/>
        <v>0.19666808347915621</v>
      </c>
      <c r="R182" s="25">
        <f t="shared" ca="1" si="18"/>
        <v>1</v>
      </c>
      <c r="S182" s="12">
        <f t="shared" ca="1" si="19"/>
        <v>100</v>
      </c>
    </row>
    <row r="183" spans="11:19" x14ac:dyDescent="0.2">
      <c r="K183" s="5">
        <v>175</v>
      </c>
      <c r="L183" s="20">
        <f t="shared" ca="1" si="14"/>
        <v>0.5568854005831505</v>
      </c>
      <c r="M183" s="25">
        <f t="shared" ca="1" si="15"/>
        <v>2</v>
      </c>
      <c r="N183" s="12">
        <f t="shared" ca="1" si="16"/>
        <v>200</v>
      </c>
      <c r="P183" s="5">
        <v>175</v>
      </c>
      <c r="Q183" s="20">
        <f t="shared" ca="1" si="17"/>
        <v>8.1292233302405759E-3</v>
      </c>
      <c r="R183" s="25">
        <f t="shared" ca="1" si="18"/>
        <v>0</v>
      </c>
      <c r="S183" s="12">
        <f t="shared" ca="1" si="19"/>
        <v>0</v>
      </c>
    </row>
    <row r="184" spans="11:19" x14ac:dyDescent="0.2">
      <c r="K184" s="5">
        <v>176</v>
      </c>
      <c r="L184" s="20">
        <f t="shared" ca="1" si="14"/>
        <v>0.68893956353220998</v>
      </c>
      <c r="M184" s="25">
        <f t="shared" ca="1" si="15"/>
        <v>2</v>
      </c>
      <c r="N184" s="12">
        <f t="shared" ca="1" si="16"/>
        <v>200</v>
      </c>
      <c r="P184" s="5">
        <v>176</v>
      </c>
      <c r="Q184" s="20">
        <f t="shared" ca="1" si="17"/>
        <v>0.4170070831610273</v>
      </c>
      <c r="R184" s="25">
        <f t="shared" ca="1" si="18"/>
        <v>1</v>
      </c>
      <c r="S184" s="12">
        <f t="shared" ca="1" si="19"/>
        <v>100</v>
      </c>
    </row>
    <row r="185" spans="11:19" x14ac:dyDescent="0.2">
      <c r="K185" s="5">
        <v>177</v>
      </c>
      <c r="L185" s="20">
        <f t="shared" ca="1" si="14"/>
        <v>0.81490066785048354</v>
      </c>
      <c r="M185" s="25">
        <f t="shared" ca="1" si="15"/>
        <v>3</v>
      </c>
      <c r="N185" s="12">
        <f t="shared" ca="1" si="16"/>
        <v>300</v>
      </c>
      <c r="P185" s="5">
        <v>177</v>
      </c>
      <c r="Q185" s="20">
        <f t="shared" ca="1" si="17"/>
        <v>0.95846917360348527</v>
      </c>
      <c r="R185" s="25">
        <f t="shared" ca="1" si="18"/>
        <v>4</v>
      </c>
      <c r="S185" s="12">
        <f t="shared" ca="1" si="19"/>
        <v>400</v>
      </c>
    </row>
    <row r="186" spans="11:19" x14ac:dyDescent="0.2">
      <c r="K186" s="5">
        <v>178</v>
      </c>
      <c r="L186" s="20">
        <f t="shared" ca="1" si="14"/>
        <v>0.64280221537852544</v>
      </c>
      <c r="M186" s="25">
        <f t="shared" ca="1" si="15"/>
        <v>2</v>
      </c>
      <c r="N186" s="12">
        <f t="shared" ca="1" si="16"/>
        <v>200</v>
      </c>
      <c r="P186" s="5">
        <v>178</v>
      </c>
      <c r="Q186" s="20">
        <f t="shared" ca="1" si="17"/>
        <v>0.95824984519971412</v>
      </c>
      <c r="R186" s="25">
        <f t="shared" ca="1" si="18"/>
        <v>4</v>
      </c>
      <c r="S186" s="12">
        <f t="shared" ca="1" si="19"/>
        <v>400</v>
      </c>
    </row>
    <row r="187" spans="11:19" x14ac:dyDescent="0.2">
      <c r="K187" s="5">
        <v>179</v>
      </c>
      <c r="L187" s="20">
        <f t="shared" ca="1" si="14"/>
        <v>0.15177279747731987</v>
      </c>
      <c r="M187" s="25">
        <f t="shared" ca="1" si="15"/>
        <v>1</v>
      </c>
      <c r="N187" s="12">
        <f t="shared" ca="1" si="16"/>
        <v>100</v>
      </c>
      <c r="P187" s="5">
        <v>179</v>
      </c>
      <c r="Q187" s="20">
        <f t="shared" ca="1" si="17"/>
        <v>0.92584002056686854</v>
      </c>
      <c r="R187" s="25">
        <f t="shared" ca="1" si="18"/>
        <v>4</v>
      </c>
      <c r="S187" s="12">
        <f t="shared" ca="1" si="19"/>
        <v>400</v>
      </c>
    </row>
    <row r="188" spans="11:19" x14ac:dyDescent="0.2">
      <c r="K188" s="5">
        <v>180</v>
      </c>
      <c r="L188" s="20">
        <f t="shared" ca="1" si="14"/>
        <v>0.11601646952295774</v>
      </c>
      <c r="M188" s="25">
        <f t="shared" ca="1" si="15"/>
        <v>1</v>
      </c>
      <c r="N188" s="12">
        <f t="shared" ca="1" si="16"/>
        <v>100</v>
      </c>
      <c r="P188" s="5">
        <v>180</v>
      </c>
      <c r="Q188" s="20">
        <f t="shared" ca="1" si="17"/>
        <v>0.85789961657109104</v>
      </c>
      <c r="R188" s="25">
        <f t="shared" ca="1" si="18"/>
        <v>3</v>
      </c>
      <c r="S188" s="12">
        <f t="shared" ca="1" si="19"/>
        <v>300</v>
      </c>
    </row>
    <row r="189" spans="11:19" x14ac:dyDescent="0.2">
      <c r="K189" s="5">
        <v>181</v>
      </c>
      <c r="L189" s="20">
        <f t="shared" ca="1" si="14"/>
        <v>0.49414963208365581</v>
      </c>
      <c r="M189" s="25">
        <f t="shared" ca="1" si="15"/>
        <v>1</v>
      </c>
      <c r="N189" s="12">
        <f t="shared" ca="1" si="16"/>
        <v>100</v>
      </c>
      <c r="P189" s="5">
        <v>181</v>
      </c>
      <c r="Q189" s="20">
        <f t="shared" ca="1" si="17"/>
        <v>0.37904082356039448</v>
      </c>
      <c r="R189" s="25">
        <f t="shared" ca="1" si="18"/>
        <v>1</v>
      </c>
      <c r="S189" s="12">
        <f t="shared" ca="1" si="19"/>
        <v>100</v>
      </c>
    </row>
    <row r="190" spans="11:19" x14ac:dyDescent="0.2">
      <c r="K190" s="5">
        <v>182</v>
      </c>
      <c r="L190" s="20">
        <f t="shared" ca="1" si="14"/>
        <v>0.77528872286793649</v>
      </c>
      <c r="M190" s="25">
        <f t="shared" ca="1" si="15"/>
        <v>3</v>
      </c>
      <c r="N190" s="12">
        <f t="shared" ca="1" si="16"/>
        <v>300</v>
      </c>
      <c r="P190" s="5">
        <v>182</v>
      </c>
      <c r="Q190" s="20">
        <f t="shared" ca="1" si="17"/>
        <v>0.63968333446554759</v>
      </c>
      <c r="R190" s="25">
        <f t="shared" ca="1" si="18"/>
        <v>2</v>
      </c>
      <c r="S190" s="12">
        <f t="shared" ca="1" si="19"/>
        <v>200</v>
      </c>
    </row>
    <row r="191" spans="11:19" x14ac:dyDescent="0.2">
      <c r="K191" s="5">
        <v>183</v>
      </c>
      <c r="L191" s="20">
        <f t="shared" ca="1" si="14"/>
        <v>5.3057688412987414E-3</v>
      </c>
      <c r="M191" s="25">
        <f t="shared" ca="1" si="15"/>
        <v>0</v>
      </c>
      <c r="N191" s="12">
        <f t="shared" ca="1" si="16"/>
        <v>0</v>
      </c>
      <c r="P191" s="5">
        <v>183</v>
      </c>
      <c r="Q191" s="20">
        <f t="shared" ca="1" si="17"/>
        <v>0.4788650676087054</v>
      </c>
      <c r="R191" s="25">
        <f t="shared" ca="1" si="18"/>
        <v>1</v>
      </c>
      <c r="S191" s="12">
        <f t="shared" ca="1" si="19"/>
        <v>100</v>
      </c>
    </row>
    <row r="192" spans="11:19" x14ac:dyDescent="0.2">
      <c r="K192" s="5">
        <v>184</v>
      </c>
      <c r="L192" s="20">
        <f t="shared" ca="1" si="14"/>
        <v>0.40270939955291685</v>
      </c>
      <c r="M192" s="25">
        <f t="shared" ca="1" si="15"/>
        <v>1</v>
      </c>
      <c r="N192" s="12">
        <f t="shared" ca="1" si="16"/>
        <v>100</v>
      </c>
      <c r="P192" s="5">
        <v>184</v>
      </c>
      <c r="Q192" s="20">
        <f t="shared" ca="1" si="17"/>
        <v>0.66774336191879569</v>
      </c>
      <c r="R192" s="25">
        <f t="shared" ca="1" si="18"/>
        <v>2</v>
      </c>
      <c r="S192" s="12">
        <f t="shared" ca="1" si="19"/>
        <v>200</v>
      </c>
    </row>
    <row r="193" spans="11:19" x14ac:dyDescent="0.2">
      <c r="K193" s="5">
        <v>185</v>
      </c>
      <c r="L193" s="20">
        <f t="shared" ca="1" si="14"/>
        <v>0.79422367412325912</v>
      </c>
      <c r="M193" s="25">
        <f t="shared" ca="1" si="15"/>
        <v>3</v>
      </c>
      <c r="N193" s="12">
        <f t="shared" ca="1" si="16"/>
        <v>300</v>
      </c>
      <c r="P193" s="5">
        <v>185</v>
      </c>
      <c r="Q193" s="20">
        <f t="shared" ca="1" si="17"/>
        <v>0.57557712466985278</v>
      </c>
      <c r="R193" s="25">
        <f t="shared" ca="1" si="18"/>
        <v>2</v>
      </c>
      <c r="S193" s="12">
        <f t="shared" ca="1" si="19"/>
        <v>200</v>
      </c>
    </row>
    <row r="194" spans="11:19" x14ac:dyDescent="0.2">
      <c r="K194" s="5">
        <v>186</v>
      </c>
      <c r="L194" s="20">
        <f t="shared" ca="1" si="14"/>
        <v>0.51910245282865364</v>
      </c>
      <c r="M194" s="25">
        <f t="shared" ca="1" si="15"/>
        <v>2</v>
      </c>
      <c r="N194" s="12">
        <f t="shared" ca="1" si="16"/>
        <v>200</v>
      </c>
      <c r="P194" s="5">
        <v>186</v>
      </c>
      <c r="Q194" s="20">
        <f t="shared" ca="1" si="17"/>
        <v>0.47095503809956973</v>
      </c>
      <c r="R194" s="25">
        <f t="shared" ca="1" si="18"/>
        <v>1</v>
      </c>
      <c r="S194" s="12">
        <f t="shared" ca="1" si="19"/>
        <v>100</v>
      </c>
    </row>
    <row r="195" spans="11:19" x14ac:dyDescent="0.2">
      <c r="K195" s="5">
        <v>187</v>
      </c>
      <c r="L195" s="20">
        <f t="shared" ca="1" si="14"/>
        <v>0.23349346540304294</v>
      </c>
      <c r="M195" s="25">
        <f t="shared" ca="1" si="15"/>
        <v>1</v>
      </c>
      <c r="N195" s="12">
        <f t="shared" ca="1" si="16"/>
        <v>100</v>
      </c>
      <c r="P195" s="5">
        <v>187</v>
      </c>
      <c r="Q195" s="20">
        <f t="shared" ca="1" si="17"/>
        <v>0.20640187028965584</v>
      </c>
      <c r="R195" s="25">
        <f t="shared" ca="1" si="18"/>
        <v>1</v>
      </c>
      <c r="S195" s="12">
        <f t="shared" ca="1" si="19"/>
        <v>100</v>
      </c>
    </row>
    <row r="196" spans="11:19" x14ac:dyDescent="0.2">
      <c r="K196" s="5">
        <v>188</v>
      </c>
      <c r="L196" s="20">
        <f t="shared" ca="1" si="14"/>
        <v>0.71819716367750031</v>
      </c>
      <c r="M196" s="25">
        <f t="shared" ca="1" si="15"/>
        <v>2</v>
      </c>
      <c r="N196" s="12">
        <f t="shared" ca="1" si="16"/>
        <v>200</v>
      </c>
      <c r="P196" s="5">
        <v>188</v>
      </c>
      <c r="Q196" s="20">
        <f t="shared" ca="1" si="17"/>
        <v>0.11905642224537449</v>
      </c>
      <c r="R196" s="25">
        <f t="shared" ca="1" si="18"/>
        <v>1</v>
      </c>
      <c r="S196" s="12">
        <f t="shared" ca="1" si="19"/>
        <v>100</v>
      </c>
    </row>
    <row r="197" spans="11:19" x14ac:dyDescent="0.2">
      <c r="K197" s="5">
        <v>189</v>
      </c>
      <c r="L197" s="20">
        <f t="shared" ca="1" si="14"/>
        <v>0.25306605987225195</v>
      </c>
      <c r="M197" s="25">
        <f t="shared" ca="1" si="15"/>
        <v>1</v>
      </c>
      <c r="N197" s="12">
        <f t="shared" ca="1" si="16"/>
        <v>100</v>
      </c>
      <c r="P197" s="5">
        <v>189</v>
      </c>
      <c r="Q197" s="20">
        <f t="shared" ca="1" si="17"/>
        <v>0.11467286550240308</v>
      </c>
      <c r="R197" s="25">
        <f t="shared" ca="1" si="18"/>
        <v>1</v>
      </c>
      <c r="S197" s="12">
        <f t="shared" ca="1" si="19"/>
        <v>100</v>
      </c>
    </row>
    <row r="198" spans="11:19" x14ac:dyDescent="0.2">
      <c r="K198" s="5">
        <v>190</v>
      </c>
      <c r="L198" s="20">
        <f t="shared" ca="1" si="14"/>
        <v>0.69405780387216842</v>
      </c>
      <c r="M198" s="25">
        <f t="shared" ca="1" si="15"/>
        <v>2</v>
      </c>
      <c r="N198" s="12">
        <f t="shared" ca="1" si="16"/>
        <v>200</v>
      </c>
      <c r="P198" s="5">
        <v>190</v>
      </c>
      <c r="Q198" s="20">
        <f t="shared" ca="1" si="17"/>
        <v>0.69330876708141365</v>
      </c>
      <c r="R198" s="25">
        <f t="shared" ca="1" si="18"/>
        <v>2</v>
      </c>
      <c r="S198" s="12">
        <f t="shared" ca="1" si="19"/>
        <v>200</v>
      </c>
    </row>
    <row r="199" spans="11:19" x14ac:dyDescent="0.2">
      <c r="K199" s="5">
        <v>191</v>
      </c>
      <c r="L199" s="20">
        <f t="shared" ca="1" si="14"/>
        <v>3.3126029337159579E-2</v>
      </c>
      <c r="M199" s="25">
        <f t="shared" ca="1" si="15"/>
        <v>0</v>
      </c>
      <c r="N199" s="12">
        <f t="shared" ca="1" si="16"/>
        <v>0</v>
      </c>
      <c r="P199" s="5">
        <v>191</v>
      </c>
      <c r="Q199" s="20">
        <f t="shared" ca="1" si="17"/>
        <v>0.92880114089590615</v>
      </c>
      <c r="R199" s="25">
        <f t="shared" ca="1" si="18"/>
        <v>4</v>
      </c>
      <c r="S199" s="12">
        <f t="shared" ca="1" si="19"/>
        <v>400</v>
      </c>
    </row>
    <row r="200" spans="11:19" x14ac:dyDescent="0.2">
      <c r="K200" s="5">
        <v>192</v>
      </c>
      <c r="L200" s="20">
        <f t="shared" ca="1" si="14"/>
        <v>3.1440592854415583E-2</v>
      </c>
      <c r="M200" s="25">
        <f t="shared" ca="1" si="15"/>
        <v>0</v>
      </c>
      <c r="N200" s="12">
        <f t="shared" ca="1" si="16"/>
        <v>0</v>
      </c>
      <c r="P200" s="5">
        <v>192</v>
      </c>
      <c r="Q200" s="20">
        <f t="shared" ca="1" si="17"/>
        <v>0.35385226102004508</v>
      </c>
      <c r="R200" s="25">
        <f t="shared" ca="1" si="18"/>
        <v>1</v>
      </c>
      <c r="S200" s="12">
        <f t="shared" ca="1" si="19"/>
        <v>100</v>
      </c>
    </row>
    <row r="201" spans="11:19" x14ac:dyDescent="0.2">
      <c r="K201" s="5">
        <v>193</v>
      </c>
      <c r="L201" s="20">
        <f t="shared" ca="1" si="14"/>
        <v>0.7211222430824239</v>
      </c>
      <c r="M201" s="25">
        <f t="shared" ca="1" si="15"/>
        <v>2</v>
      </c>
      <c r="N201" s="12">
        <f t="shared" ca="1" si="16"/>
        <v>200</v>
      </c>
      <c r="P201" s="5">
        <v>193</v>
      </c>
      <c r="Q201" s="20">
        <f t="shared" ca="1" si="17"/>
        <v>0.22397562977724539</v>
      </c>
      <c r="R201" s="25">
        <f t="shared" ca="1" si="18"/>
        <v>1</v>
      </c>
      <c r="S201" s="12">
        <f t="shared" ca="1" si="19"/>
        <v>100</v>
      </c>
    </row>
    <row r="202" spans="11:19" x14ac:dyDescent="0.2">
      <c r="K202" s="5">
        <v>194</v>
      </c>
      <c r="L202" s="20">
        <f t="shared" ca="1" si="14"/>
        <v>0.62511617151732635</v>
      </c>
      <c r="M202" s="25">
        <f t="shared" ca="1" si="15"/>
        <v>2</v>
      </c>
      <c r="N202" s="12">
        <f t="shared" ca="1" si="16"/>
        <v>200</v>
      </c>
      <c r="P202" s="5">
        <v>194</v>
      </c>
      <c r="Q202" s="20">
        <f t="shared" ca="1" si="17"/>
        <v>0.35280918031463049</v>
      </c>
      <c r="R202" s="25">
        <f t="shared" ca="1" si="18"/>
        <v>1</v>
      </c>
      <c r="S202" s="12">
        <f t="shared" ca="1" si="19"/>
        <v>100</v>
      </c>
    </row>
    <row r="203" spans="11:19" x14ac:dyDescent="0.2">
      <c r="K203" s="5">
        <v>195</v>
      </c>
      <c r="L203" s="20">
        <f t="shared" ca="1" si="14"/>
        <v>0.55427698089349331</v>
      </c>
      <c r="M203" s="25">
        <f t="shared" ca="1" si="15"/>
        <v>2</v>
      </c>
      <c r="N203" s="12">
        <f t="shared" ca="1" si="16"/>
        <v>200</v>
      </c>
      <c r="P203" s="5">
        <v>195</v>
      </c>
      <c r="Q203" s="20">
        <f t="shared" ca="1" si="17"/>
        <v>0.44805422073795487</v>
      </c>
      <c r="R203" s="25">
        <f t="shared" ca="1" si="18"/>
        <v>1</v>
      </c>
      <c r="S203" s="12">
        <f t="shared" ca="1" si="19"/>
        <v>100</v>
      </c>
    </row>
    <row r="204" spans="11:19" x14ac:dyDescent="0.2">
      <c r="L204" s="52"/>
      <c r="M204" s="53"/>
    </row>
    <row r="205" spans="11:19" x14ac:dyDescent="0.2">
      <c r="L205" s="52"/>
      <c r="M205" s="53"/>
    </row>
    <row r="206" spans="11:19" x14ac:dyDescent="0.2">
      <c r="L206" s="52"/>
      <c r="M206" s="53"/>
    </row>
    <row r="207" spans="11:19" x14ac:dyDescent="0.2">
      <c r="L207" s="52"/>
      <c r="M207" s="53"/>
    </row>
    <row r="208" spans="11:19" x14ac:dyDescent="0.2">
      <c r="L208" s="52"/>
      <c r="M208" s="53"/>
    </row>
    <row r="209" spans="12:13" x14ac:dyDescent="0.2">
      <c r="L209" s="52"/>
      <c r="M209" s="53"/>
    </row>
    <row r="210" spans="12:13" x14ac:dyDescent="0.2">
      <c r="L210" s="52"/>
      <c r="M210" s="53"/>
    </row>
    <row r="211" spans="12:13" x14ac:dyDescent="0.2">
      <c r="L211" s="52"/>
      <c r="M211" s="53"/>
    </row>
    <row r="212" spans="12:13" x14ac:dyDescent="0.2">
      <c r="L212" s="52"/>
      <c r="M212" s="53"/>
    </row>
    <row r="213" spans="12:13" x14ac:dyDescent="0.2">
      <c r="L213" s="52"/>
      <c r="M213" s="53"/>
    </row>
    <row r="214" spans="12:13" x14ac:dyDescent="0.2">
      <c r="L214" s="52"/>
      <c r="M214" s="53"/>
    </row>
    <row r="215" spans="12:13" x14ac:dyDescent="0.2">
      <c r="L215" s="52"/>
      <c r="M215" s="53"/>
    </row>
    <row r="216" spans="12:13" x14ac:dyDescent="0.2">
      <c r="L216" s="52"/>
      <c r="M216" s="53"/>
    </row>
    <row r="217" spans="12:13" x14ac:dyDescent="0.2">
      <c r="L217" s="52"/>
      <c r="M217" s="53"/>
    </row>
    <row r="218" spans="12:13" x14ac:dyDescent="0.2">
      <c r="L218" s="52"/>
      <c r="M218" s="53"/>
    </row>
    <row r="219" spans="12:13" x14ac:dyDescent="0.2">
      <c r="L219" s="52"/>
      <c r="M219" s="53"/>
    </row>
    <row r="220" spans="12:13" x14ac:dyDescent="0.2">
      <c r="L220" s="52"/>
      <c r="M220" s="53"/>
    </row>
    <row r="221" spans="12:13" x14ac:dyDescent="0.2">
      <c r="L221" s="52"/>
      <c r="M221" s="53"/>
    </row>
    <row r="222" spans="12:13" x14ac:dyDescent="0.2">
      <c r="L222" s="52"/>
      <c r="M222" s="53"/>
    </row>
    <row r="223" spans="12:13" x14ac:dyDescent="0.2">
      <c r="L223" s="52"/>
      <c r="M223" s="53"/>
    </row>
    <row r="224" spans="12:13" x14ac:dyDescent="0.2">
      <c r="L224" s="52"/>
      <c r="M224" s="53"/>
    </row>
    <row r="225" spans="12:13" x14ac:dyDescent="0.2">
      <c r="L225" s="52"/>
      <c r="M225" s="53"/>
    </row>
    <row r="226" spans="12:13" x14ac:dyDescent="0.2">
      <c r="L226" s="52"/>
      <c r="M226" s="53"/>
    </row>
    <row r="227" spans="12:13" x14ac:dyDescent="0.2">
      <c r="L227" s="52"/>
      <c r="M227" s="53"/>
    </row>
    <row r="228" spans="12:13" x14ac:dyDescent="0.2">
      <c r="L228" s="52"/>
      <c r="M228" s="53"/>
    </row>
    <row r="229" spans="12:13" x14ac:dyDescent="0.2">
      <c r="L229" s="52"/>
      <c r="M229" s="53"/>
    </row>
    <row r="230" spans="12:13" x14ac:dyDescent="0.2">
      <c r="L230" s="52"/>
      <c r="M230" s="53"/>
    </row>
    <row r="231" spans="12:13" x14ac:dyDescent="0.2">
      <c r="L231" s="52"/>
      <c r="M231" s="53"/>
    </row>
    <row r="232" spans="12:13" x14ac:dyDescent="0.2">
      <c r="L232" s="52"/>
      <c r="M232" s="53"/>
    </row>
    <row r="233" spans="12:13" x14ac:dyDescent="0.2">
      <c r="L233" s="52"/>
      <c r="M233" s="53"/>
    </row>
    <row r="234" spans="12:13" x14ac:dyDescent="0.2">
      <c r="L234" s="52"/>
      <c r="M234" s="53"/>
    </row>
    <row r="235" spans="12:13" x14ac:dyDescent="0.2">
      <c r="L235" s="52"/>
      <c r="M235" s="53"/>
    </row>
    <row r="236" spans="12:13" x14ac:dyDescent="0.2">
      <c r="L236" s="52"/>
      <c r="M236" s="53"/>
    </row>
    <row r="237" spans="12:13" x14ac:dyDescent="0.2">
      <c r="L237" s="52"/>
      <c r="M237" s="53"/>
    </row>
    <row r="238" spans="12:13" x14ac:dyDescent="0.2">
      <c r="L238" s="52"/>
      <c r="M238" s="53"/>
    </row>
    <row r="239" spans="12:13" x14ac:dyDescent="0.2">
      <c r="L239" s="52"/>
      <c r="M239" s="53"/>
    </row>
    <row r="240" spans="12:13" x14ac:dyDescent="0.2">
      <c r="L240" s="52"/>
      <c r="M240" s="53"/>
    </row>
    <row r="241" spans="12:13" x14ac:dyDescent="0.2">
      <c r="L241" s="52"/>
      <c r="M241" s="53"/>
    </row>
    <row r="242" spans="12:13" x14ac:dyDescent="0.2">
      <c r="L242" s="52"/>
      <c r="M242" s="53"/>
    </row>
    <row r="243" spans="12:13" x14ac:dyDescent="0.2">
      <c r="L243" s="52"/>
      <c r="M243" s="53"/>
    </row>
    <row r="244" spans="12:13" x14ac:dyDescent="0.2">
      <c r="L244" s="52"/>
      <c r="M244" s="53"/>
    </row>
    <row r="245" spans="12:13" x14ac:dyDescent="0.2">
      <c r="L245" s="52"/>
      <c r="M245" s="53"/>
    </row>
    <row r="246" spans="12:13" x14ac:dyDescent="0.2">
      <c r="L246" s="52"/>
      <c r="M246" s="53"/>
    </row>
    <row r="247" spans="12:13" x14ac:dyDescent="0.2">
      <c r="L247" s="52"/>
      <c r="M247" s="53"/>
    </row>
    <row r="248" spans="12:13" x14ac:dyDescent="0.2">
      <c r="L248" s="52"/>
      <c r="M248" s="53"/>
    </row>
    <row r="249" spans="12:13" x14ac:dyDescent="0.2">
      <c r="L249" s="52"/>
      <c r="M249" s="53"/>
    </row>
    <row r="250" spans="12:13" x14ac:dyDescent="0.2">
      <c r="L250" s="52"/>
      <c r="M250" s="53"/>
    </row>
    <row r="251" spans="12:13" x14ac:dyDescent="0.2">
      <c r="L251" s="52"/>
      <c r="M251" s="53"/>
    </row>
    <row r="252" spans="12:13" x14ac:dyDescent="0.2">
      <c r="L252" s="52"/>
      <c r="M252" s="53"/>
    </row>
    <row r="253" spans="12:13" x14ac:dyDescent="0.2">
      <c r="L253" s="52"/>
      <c r="M253" s="53"/>
    </row>
    <row r="254" spans="12:13" x14ac:dyDescent="0.2">
      <c r="L254" s="52"/>
      <c r="M254" s="53"/>
    </row>
    <row r="255" spans="12:13" x14ac:dyDescent="0.2">
      <c r="L255" s="52"/>
      <c r="M255" s="53"/>
    </row>
    <row r="256" spans="12:13" x14ac:dyDescent="0.2">
      <c r="L256" s="52"/>
      <c r="M256" s="53"/>
    </row>
    <row r="257" spans="12:13" x14ac:dyDescent="0.2">
      <c r="L257" s="52"/>
      <c r="M257" s="53"/>
    </row>
    <row r="258" spans="12:13" x14ac:dyDescent="0.2">
      <c r="L258" s="52"/>
      <c r="M258" s="53"/>
    </row>
    <row r="259" spans="12:13" x14ac:dyDescent="0.2">
      <c r="L259" s="52"/>
      <c r="M259" s="53"/>
    </row>
    <row r="260" spans="12:13" x14ac:dyDescent="0.2">
      <c r="L260" s="52"/>
      <c r="M260" s="53"/>
    </row>
    <row r="261" spans="12:13" x14ac:dyDescent="0.2">
      <c r="L261" s="52"/>
      <c r="M261" s="53"/>
    </row>
    <row r="262" spans="12:13" x14ac:dyDescent="0.2">
      <c r="L262" s="52"/>
      <c r="M262" s="53"/>
    </row>
    <row r="263" spans="12:13" x14ac:dyDescent="0.2">
      <c r="L263" s="52"/>
      <c r="M263" s="53"/>
    </row>
    <row r="264" spans="12:13" x14ac:dyDescent="0.2">
      <c r="L264" s="52"/>
      <c r="M264" s="53"/>
    </row>
    <row r="265" spans="12:13" x14ac:dyDescent="0.2">
      <c r="L265" s="52"/>
      <c r="M265" s="53"/>
    </row>
    <row r="266" spans="12:13" x14ac:dyDescent="0.2">
      <c r="L266" s="52"/>
      <c r="M266" s="53"/>
    </row>
    <row r="267" spans="12:13" x14ac:dyDescent="0.2">
      <c r="L267" s="52"/>
      <c r="M267" s="53"/>
    </row>
    <row r="268" spans="12:13" x14ac:dyDescent="0.2">
      <c r="L268" s="52"/>
      <c r="M268" s="53"/>
    </row>
    <row r="269" spans="12:13" x14ac:dyDescent="0.2">
      <c r="L269" s="52"/>
      <c r="M269" s="53"/>
    </row>
    <row r="270" spans="12:13" x14ac:dyDescent="0.2">
      <c r="L270" s="52"/>
      <c r="M270" s="53"/>
    </row>
    <row r="271" spans="12:13" x14ac:dyDescent="0.2">
      <c r="L271" s="52"/>
      <c r="M271" s="53"/>
    </row>
    <row r="272" spans="12:13" x14ac:dyDescent="0.2">
      <c r="L272" s="52"/>
      <c r="M272" s="53"/>
    </row>
    <row r="273" spans="12:13" x14ac:dyDescent="0.2">
      <c r="L273" s="52"/>
      <c r="M273" s="53"/>
    </row>
    <row r="274" spans="12:13" x14ac:dyDescent="0.2">
      <c r="L274" s="52"/>
      <c r="M274" s="53"/>
    </row>
    <row r="275" spans="12:13" x14ac:dyDescent="0.2">
      <c r="L275" s="52"/>
      <c r="M275" s="53"/>
    </row>
    <row r="276" spans="12:13" x14ac:dyDescent="0.2">
      <c r="L276" s="52"/>
      <c r="M276" s="53"/>
    </row>
    <row r="277" spans="12:13" x14ac:dyDescent="0.2">
      <c r="L277" s="52"/>
      <c r="M277" s="53"/>
    </row>
    <row r="278" spans="12:13" x14ac:dyDescent="0.2">
      <c r="L278" s="52"/>
      <c r="M278" s="53"/>
    </row>
    <row r="279" spans="12:13" x14ac:dyDescent="0.2">
      <c r="L279" s="52"/>
      <c r="M279" s="53"/>
    </row>
    <row r="280" spans="12:13" x14ac:dyDescent="0.2">
      <c r="L280" s="52"/>
      <c r="M280" s="53"/>
    </row>
    <row r="281" spans="12:13" x14ac:dyDescent="0.2">
      <c r="L281" s="52"/>
      <c r="M281" s="53"/>
    </row>
    <row r="282" spans="12:13" x14ac:dyDescent="0.2">
      <c r="L282" s="52"/>
      <c r="M282" s="53"/>
    </row>
    <row r="283" spans="12:13" x14ac:dyDescent="0.2">
      <c r="L283" s="52"/>
      <c r="M283" s="53"/>
    </row>
    <row r="284" spans="12:13" x14ac:dyDescent="0.2">
      <c r="L284" s="52"/>
      <c r="M284" s="53"/>
    </row>
    <row r="285" spans="12:13" x14ac:dyDescent="0.2">
      <c r="L285" s="52"/>
      <c r="M285" s="53"/>
    </row>
    <row r="286" spans="12:13" x14ac:dyDescent="0.2">
      <c r="L286" s="52"/>
      <c r="M286" s="53"/>
    </row>
    <row r="287" spans="12:13" x14ac:dyDescent="0.2">
      <c r="L287" s="52"/>
      <c r="M287" s="53"/>
    </row>
    <row r="288" spans="12:13" x14ac:dyDescent="0.2">
      <c r="L288" s="52"/>
      <c r="M288" s="53"/>
    </row>
    <row r="289" spans="12:13" x14ac:dyDescent="0.2">
      <c r="L289" s="52"/>
      <c r="M289" s="53"/>
    </row>
    <row r="290" spans="12:13" x14ac:dyDescent="0.2">
      <c r="L290" s="52"/>
      <c r="M290" s="53"/>
    </row>
    <row r="291" spans="12:13" x14ac:dyDescent="0.2">
      <c r="L291" s="52"/>
      <c r="M291" s="53"/>
    </row>
    <row r="292" spans="12:13" x14ac:dyDescent="0.2">
      <c r="L292" s="52"/>
      <c r="M292" s="53"/>
    </row>
    <row r="293" spans="12:13" x14ac:dyDescent="0.2">
      <c r="L293" s="52"/>
      <c r="M293" s="53"/>
    </row>
    <row r="294" spans="12:13" x14ac:dyDescent="0.2">
      <c r="L294" s="52"/>
      <c r="M294" s="53"/>
    </row>
    <row r="295" spans="12:13" x14ac:dyDescent="0.2">
      <c r="L295" s="52"/>
      <c r="M295" s="53"/>
    </row>
    <row r="296" spans="12:13" x14ac:dyDescent="0.2">
      <c r="L296" s="52"/>
      <c r="M296" s="53"/>
    </row>
    <row r="297" spans="12:13" x14ac:dyDescent="0.2">
      <c r="L297" s="52"/>
      <c r="M297" s="53"/>
    </row>
    <row r="298" spans="12:13" x14ac:dyDescent="0.2">
      <c r="L298" s="52"/>
      <c r="M298" s="53"/>
    </row>
    <row r="299" spans="12:13" x14ac:dyDescent="0.2">
      <c r="L299" s="52"/>
      <c r="M299" s="53"/>
    </row>
    <row r="300" spans="12:13" x14ac:dyDescent="0.2">
      <c r="L300" s="52"/>
      <c r="M300" s="53"/>
    </row>
    <row r="301" spans="12:13" x14ac:dyDescent="0.2">
      <c r="L301" s="52"/>
      <c r="M301" s="53"/>
    </row>
    <row r="302" spans="12:13" x14ac:dyDescent="0.2">
      <c r="L302" s="52"/>
      <c r="M302" s="53"/>
    </row>
    <row r="303" spans="12:13" x14ac:dyDescent="0.2">
      <c r="L303" s="52"/>
      <c r="M303" s="53"/>
    </row>
    <row r="304" spans="12:13" x14ac:dyDescent="0.2">
      <c r="L304" s="52"/>
      <c r="M304" s="53"/>
    </row>
    <row r="305" spans="12:13" x14ac:dyDescent="0.2">
      <c r="L305" s="52"/>
      <c r="M305" s="53"/>
    </row>
    <row r="306" spans="12:13" x14ac:dyDescent="0.2">
      <c r="L306" s="52"/>
      <c r="M306" s="53"/>
    </row>
    <row r="307" spans="12:13" x14ac:dyDescent="0.2">
      <c r="L307" s="52"/>
      <c r="M307" s="53"/>
    </row>
    <row r="308" spans="12:13" x14ac:dyDescent="0.2">
      <c r="L308" s="52"/>
      <c r="M308" s="53"/>
    </row>
    <row r="309" spans="12:13" x14ac:dyDescent="0.2">
      <c r="L309" s="52"/>
      <c r="M309" s="53"/>
    </row>
    <row r="310" spans="12:13" x14ac:dyDescent="0.2">
      <c r="L310" s="52"/>
      <c r="M310" s="53"/>
    </row>
    <row r="311" spans="12:13" x14ac:dyDescent="0.2">
      <c r="L311" s="52"/>
      <c r="M311" s="53"/>
    </row>
    <row r="312" spans="12:13" x14ac:dyDescent="0.2">
      <c r="L312" s="52"/>
      <c r="M312" s="53"/>
    </row>
    <row r="313" spans="12:13" x14ac:dyDescent="0.2">
      <c r="L313" s="52"/>
      <c r="M313" s="53"/>
    </row>
    <row r="314" spans="12:13" x14ac:dyDescent="0.2">
      <c r="L314" s="52"/>
      <c r="M314" s="53"/>
    </row>
    <row r="315" spans="12:13" x14ac:dyDescent="0.2">
      <c r="L315" s="52"/>
      <c r="M315" s="53"/>
    </row>
    <row r="316" spans="12:13" x14ac:dyDescent="0.2">
      <c r="L316" s="52"/>
      <c r="M316" s="53"/>
    </row>
    <row r="317" spans="12:13" x14ac:dyDescent="0.2">
      <c r="L317" s="52"/>
      <c r="M317" s="53"/>
    </row>
    <row r="318" spans="12:13" x14ac:dyDescent="0.2">
      <c r="L318" s="52"/>
      <c r="M318" s="53"/>
    </row>
    <row r="319" spans="12:13" x14ac:dyDescent="0.2">
      <c r="L319" s="52"/>
      <c r="M319" s="53"/>
    </row>
    <row r="320" spans="12:13" x14ac:dyDescent="0.2">
      <c r="L320" s="52"/>
      <c r="M320" s="53"/>
    </row>
    <row r="321" spans="12:13" x14ac:dyDescent="0.2">
      <c r="L321" s="52"/>
      <c r="M321" s="53"/>
    </row>
    <row r="322" spans="12:13" x14ac:dyDescent="0.2">
      <c r="L322" s="52"/>
      <c r="M322" s="53"/>
    </row>
    <row r="323" spans="12:13" x14ac:dyDescent="0.2">
      <c r="L323" s="52"/>
      <c r="M323" s="53"/>
    </row>
    <row r="324" spans="12:13" x14ac:dyDescent="0.2">
      <c r="L324" s="52"/>
      <c r="M324" s="53"/>
    </row>
    <row r="325" spans="12:13" x14ac:dyDescent="0.2">
      <c r="L325" s="52"/>
      <c r="M325" s="53"/>
    </row>
    <row r="326" spans="12:13" x14ac:dyDescent="0.2">
      <c r="L326" s="52"/>
      <c r="M326" s="53"/>
    </row>
    <row r="327" spans="12:13" x14ac:dyDescent="0.2">
      <c r="L327" s="52"/>
      <c r="M327" s="53"/>
    </row>
    <row r="328" spans="12:13" x14ac:dyDescent="0.2">
      <c r="L328" s="52"/>
      <c r="M328" s="53"/>
    </row>
    <row r="329" spans="12:13" x14ac:dyDescent="0.2">
      <c r="L329" s="52"/>
      <c r="M329" s="53"/>
    </row>
    <row r="330" spans="12:13" x14ac:dyDescent="0.2">
      <c r="L330" s="52"/>
      <c r="M330" s="53"/>
    </row>
    <row r="331" spans="12:13" x14ac:dyDescent="0.2">
      <c r="L331" s="52"/>
      <c r="M331" s="53"/>
    </row>
    <row r="332" spans="12:13" x14ac:dyDescent="0.2">
      <c r="L332" s="52"/>
      <c r="M332" s="53"/>
    </row>
    <row r="333" spans="12:13" x14ac:dyDescent="0.2">
      <c r="L333" s="52"/>
      <c r="M333" s="53"/>
    </row>
    <row r="334" spans="12:13" x14ac:dyDescent="0.2">
      <c r="L334" s="52"/>
      <c r="M334" s="53"/>
    </row>
    <row r="335" spans="12:13" x14ac:dyDescent="0.2">
      <c r="L335" s="52"/>
      <c r="M335" s="53"/>
    </row>
    <row r="336" spans="12:13" x14ac:dyDescent="0.2">
      <c r="L336" s="52"/>
      <c r="M336" s="53"/>
    </row>
    <row r="337" spans="12:13" x14ac:dyDescent="0.2">
      <c r="L337" s="52"/>
      <c r="M337" s="53"/>
    </row>
    <row r="338" spans="12:13" x14ac:dyDescent="0.2">
      <c r="L338" s="52"/>
      <c r="M338" s="53"/>
    </row>
    <row r="339" spans="12:13" x14ac:dyDescent="0.2">
      <c r="L339" s="52"/>
      <c r="M339" s="53"/>
    </row>
    <row r="340" spans="12:13" x14ac:dyDescent="0.2">
      <c r="L340" s="52"/>
      <c r="M340" s="53"/>
    </row>
    <row r="341" spans="12:13" x14ac:dyDescent="0.2">
      <c r="L341" s="52"/>
      <c r="M341" s="53"/>
    </row>
    <row r="342" spans="12:13" x14ac:dyDescent="0.2">
      <c r="L342" s="52"/>
      <c r="M342" s="53"/>
    </row>
    <row r="343" spans="12:13" x14ac:dyDescent="0.2">
      <c r="L343" s="52"/>
      <c r="M343" s="53"/>
    </row>
    <row r="344" spans="12:13" x14ac:dyDescent="0.2">
      <c r="L344" s="52"/>
      <c r="M344" s="53"/>
    </row>
    <row r="345" spans="12:13" x14ac:dyDescent="0.2">
      <c r="L345" s="52"/>
      <c r="M345" s="53"/>
    </row>
    <row r="346" spans="12:13" x14ac:dyDescent="0.2">
      <c r="L346" s="52"/>
      <c r="M346" s="53"/>
    </row>
    <row r="347" spans="12:13" x14ac:dyDescent="0.2">
      <c r="L347" s="52"/>
      <c r="M347" s="53"/>
    </row>
    <row r="348" spans="12:13" x14ac:dyDescent="0.2">
      <c r="L348" s="52"/>
      <c r="M348" s="53"/>
    </row>
    <row r="349" spans="12:13" x14ac:dyDescent="0.2">
      <c r="L349" s="52"/>
      <c r="M349" s="53"/>
    </row>
    <row r="350" spans="12:13" x14ac:dyDescent="0.2">
      <c r="L350" s="52"/>
      <c r="M350" s="53"/>
    </row>
    <row r="351" spans="12:13" x14ac:dyDescent="0.2">
      <c r="L351" s="52"/>
      <c r="M351" s="53"/>
    </row>
    <row r="352" spans="12:13" x14ac:dyDescent="0.2">
      <c r="L352" s="52"/>
      <c r="M352" s="53"/>
    </row>
    <row r="353" spans="12:13" x14ac:dyDescent="0.2">
      <c r="L353" s="52"/>
      <c r="M353" s="53"/>
    </row>
    <row r="354" spans="12:13" x14ac:dyDescent="0.2">
      <c r="L354" s="52"/>
      <c r="M354" s="53"/>
    </row>
    <row r="355" spans="12:13" x14ac:dyDescent="0.2">
      <c r="L355" s="52"/>
      <c r="M355" s="53"/>
    </row>
    <row r="356" spans="12:13" x14ac:dyDescent="0.2">
      <c r="L356" s="52"/>
      <c r="M356" s="53"/>
    </row>
    <row r="357" spans="12:13" x14ac:dyDescent="0.2">
      <c r="L357" s="52"/>
      <c r="M357" s="53"/>
    </row>
    <row r="358" spans="12:13" x14ac:dyDescent="0.2">
      <c r="L358" s="52"/>
      <c r="M358" s="53"/>
    </row>
    <row r="359" spans="12:13" x14ac:dyDescent="0.2">
      <c r="L359" s="52"/>
      <c r="M359" s="53"/>
    </row>
    <row r="360" spans="12:13" x14ac:dyDescent="0.2">
      <c r="L360" s="52"/>
      <c r="M360" s="53"/>
    </row>
    <row r="361" spans="12:13" x14ac:dyDescent="0.2">
      <c r="L361" s="52"/>
      <c r="M361" s="53"/>
    </row>
    <row r="362" spans="12:13" x14ac:dyDescent="0.2">
      <c r="L362" s="52"/>
      <c r="M362" s="53"/>
    </row>
    <row r="363" spans="12:13" x14ac:dyDescent="0.2">
      <c r="L363" s="52"/>
      <c r="M363" s="53"/>
    </row>
    <row r="364" spans="12:13" x14ac:dyDescent="0.2">
      <c r="L364" s="52"/>
      <c r="M364" s="53"/>
    </row>
    <row r="365" spans="12:13" x14ac:dyDescent="0.2">
      <c r="L365" s="52"/>
      <c r="M365" s="53"/>
    </row>
    <row r="366" spans="12:13" x14ac:dyDescent="0.2">
      <c r="L366" s="52"/>
      <c r="M366" s="53"/>
    </row>
    <row r="367" spans="12:13" x14ac:dyDescent="0.2">
      <c r="L367" s="52"/>
      <c r="M367" s="53"/>
    </row>
    <row r="368" spans="12:13" x14ac:dyDescent="0.2">
      <c r="L368" s="52"/>
      <c r="M368" s="53"/>
    </row>
    <row r="369" spans="12:13" x14ac:dyDescent="0.2">
      <c r="L369" s="52"/>
      <c r="M369" s="53"/>
    </row>
    <row r="370" spans="12:13" x14ac:dyDescent="0.2">
      <c r="L370" s="52"/>
      <c r="M370" s="53"/>
    </row>
    <row r="371" spans="12:13" x14ac:dyDescent="0.2">
      <c r="L371" s="52"/>
      <c r="M371" s="53"/>
    </row>
    <row r="372" spans="12:13" x14ac:dyDescent="0.2">
      <c r="L372" s="52"/>
      <c r="M372" s="53"/>
    </row>
    <row r="373" spans="12:13" x14ac:dyDescent="0.2">
      <c r="L373" s="52"/>
      <c r="M373" s="53"/>
    </row>
    <row r="374" spans="12:13" x14ac:dyDescent="0.2">
      <c r="L374" s="52"/>
      <c r="M374" s="53"/>
    </row>
    <row r="375" spans="12:13" x14ac:dyDescent="0.2">
      <c r="L375" s="52"/>
      <c r="M375" s="53"/>
    </row>
    <row r="376" spans="12:13" x14ac:dyDescent="0.2">
      <c r="L376" s="52"/>
      <c r="M376" s="53"/>
    </row>
    <row r="377" spans="12:13" x14ac:dyDescent="0.2">
      <c r="L377" s="52"/>
      <c r="M377" s="53"/>
    </row>
    <row r="378" spans="12:13" x14ac:dyDescent="0.2">
      <c r="L378" s="52"/>
      <c r="M378" s="53"/>
    </row>
    <row r="379" spans="12:13" x14ac:dyDescent="0.2">
      <c r="L379" s="52"/>
      <c r="M379" s="53"/>
    </row>
    <row r="380" spans="12:13" x14ac:dyDescent="0.2">
      <c r="L380" s="52"/>
      <c r="M380" s="53"/>
    </row>
    <row r="381" spans="12:13" x14ac:dyDescent="0.2">
      <c r="L381" s="52"/>
      <c r="M381" s="53"/>
    </row>
    <row r="382" spans="12:13" x14ac:dyDescent="0.2">
      <c r="L382" s="52"/>
      <c r="M382" s="53"/>
    </row>
    <row r="383" spans="12:13" x14ac:dyDescent="0.2">
      <c r="L383" s="52"/>
      <c r="M383" s="53"/>
    </row>
    <row r="384" spans="12:13" x14ac:dyDescent="0.2">
      <c r="L384" s="52"/>
      <c r="M384" s="53"/>
    </row>
    <row r="385" spans="12:13" x14ac:dyDescent="0.2">
      <c r="L385" s="52"/>
      <c r="M385" s="53"/>
    </row>
    <row r="386" spans="12:13" x14ac:dyDescent="0.2">
      <c r="L386" s="52"/>
      <c r="M386" s="53"/>
    </row>
    <row r="387" spans="12:13" x14ac:dyDescent="0.2">
      <c r="L387" s="52"/>
      <c r="M387" s="53"/>
    </row>
    <row r="388" spans="12:13" x14ac:dyDescent="0.2">
      <c r="L388" s="52"/>
      <c r="M388" s="53"/>
    </row>
    <row r="389" spans="12:13" x14ac:dyDescent="0.2">
      <c r="L389" s="52"/>
      <c r="M389" s="53"/>
    </row>
    <row r="390" spans="12:13" x14ac:dyDescent="0.2">
      <c r="L390" s="52"/>
      <c r="M390" s="53"/>
    </row>
    <row r="391" spans="12:13" x14ac:dyDescent="0.2">
      <c r="L391" s="52"/>
      <c r="M391" s="53"/>
    </row>
    <row r="392" spans="12:13" x14ac:dyDescent="0.2">
      <c r="L392" s="52"/>
      <c r="M392" s="53"/>
    </row>
    <row r="393" spans="12:13" x14ac:dyDescent="0.2">
      <c r="L393" s="52"/>
      <c r="M393" s="53"/>
    </row>
    <row r="394" spans="12:13" x14ac:dyDescent="0.2">
      <c r="L394" s="52"/>
      <c r="M394" s="53"/>
    </row>
    <row r="395" spans="12:13" x14ac:dyDescent="0.2">
      <c r="L395" s="52"/>
      <c r="M395" s="53"/>
    </row>
    <row r="396" spans="12:13" x14ac:dyDescent="0.2">
      <c r="L396" s="52"/>
      <c r="M396" s="53"/>
    </row>
    <row r="397" spans="12:13" x14ac:dyDescent="0.2">
      <c r="L397" s="52"/>
      <c r="M397" s="53"/>
    </row>
    <row r="398" spans="12:13" x14ac:dyDescent="0.2">
      <c r="L398" s="52"/>
      <c r="M398" s="53"/>
    </row>
    <row r="399" spans="12:13" x14ac:dyDescent="0.2">
      <c r="L399" s="52"/>
      <c r="M399" s="53"/>
    </row>
    <row r="400" spans="12:13" x14ac:dyDescent="0.2">
      <c r="L400" s="52"/>
      <c r="M400" s="53"/>
    </row>
    <row r="401" spans="12:13" x14ac:dyDescent="0.2">
      <c r="L401" s="52"/>
      <c r="M401" s="53"/>
    </row>
    <row r="402" spans="12:13" x14ac:dyDescent="0.2">
      <c r="L402" s="52"/>
      <c r="M402" s="53"/>
    </row>
    <row r="403" spans="12:13" x14ac:dyDescent="0.2">
      <c r="L403" s="52"/>
      <c r="M403" s="53"/>
    </row>
    <row r="404" spans="12:13" x14ac:dyDescent="0.2">
      <c r="L404" s="52"/>
      <c r="M404" s="53"/>
    </row>
    <row r="405" spans="12:13" x14ac:dyDescent="0.2">
      <c r="L405" s="52"/>
      <c r="M405" s="53"/>
    </row>
    <row r="406" spans="12:13" x14ac:dyDescent="0.2">
      <c r="L406" s="52"/>
      <c r="M406" s="53"/>
    </row>
    <row r="407" spans="12:13" x14ac:dyDescent="0.2">
      <c r="L407" s="52"/>
      <c r="M407" s="53"/>
    </row>
    <row r="408" spans="12:13" x14ac:dyDescent="0.2">
      <c r="L408" s="52"/>
      <c r="M408" s="53"/>
    </row>
    <row r="409" spans="12:13" x14ac:dyDescent="0.2">
      <c r="L409" s="52"/>
      <c r="M409" s="53"/>
    </row>
    <row r="410" spans="12:13" x14ac:dyDescent="0.2">
      <c r="L410" s="52"/>
      <c r="M410" s="53"/>
    </row>
    <row r="411" spans="12:13" x14ac:dyDescent="0.2">
      <c r="L411" s="52"/>
      <c r="M411" s="53"/>
    </row>
    <row r="412" spans="12:13" x14ac:dyDescent="0.2">
      <c r="L412" s="52"/>
      <c r="M412" s="53"/>
    </row>
    <row r="413" spans="12:13" x14ac:dyDescent="0.2">
      <c r="L413" s="52"/>
      <c r="M413" s="53"/>
    </row>
    <row r="414" spans="12:13" x14ac:dyDescent="0.2">
      <c r="L414" s="52"/>
      <c r="M414" s="53"/>
    </row>
    <row r="415" spans="12:13" x14ac:dyDescent="0.2">
      <c r="L415" s="52"/>
      <c r="M415" s="53"/>
    </row>
    <row r="416" spans="12:13" x14ac:dyDescent="0.2">
      <c r="L416" s="52"/>
      <c r="M416" s="53"/>
    </row>
    <row r="417" spans="12:13" x14ac:dyDescent="0.2">
      <c r="L417" s="52"/>
      <c r="M417" s="53"/>
    </row>
    <row r="418" spans="12:13" x14ac:dyDescent="0.2">
      <c r="L418" s="52"/>
      <c r="M418" s="53"/>
    </row>
    <row r="419" spans="12:13" x14ac:dyDescent="0.2">
      <c r="L419" s="52"/>
      <c r="M419" s="53"/>
    </row>
    <row r="420" spans="12:13" x14ac:dyDescent="0.2">
      <c r="L420" s="52"/>
      <c r="M420" s="53"/>
    </row>
    <row r="421" spans="12:13" x14ac:dyDescent="0.2">
      <c r="L421" s="52"/>
      <c r="M421" s="53"/>
    </row>
    <row r="422" spans="12:13" x14ac:dyDescent="0.2">
      <c r="L422" s="52"/>
      <c r="M422" s="53"/>
    </row>
    <row r="423" spans="12:13" x14ac:dyDescent="0.2">
      <c r="L423" s="52"/>
      <c r="M423" s="53"/>
    </row>
    <row r="424" spans="12:13" x14ac:dyDescent="0.2">
      <c r="L424" s="52"/>
      <c r="M424" s="53"/>
    </row>
    <row r="425" spans="12:13" x14ac:dyDescent="0.2">
      <c r="L425" s="52"/>
      <c r="M425" s="53"/>
    </row>
    <row r="426" spans="12:13" x14ac:dyDescent="0.2">
      <c r="L426" s="52"/>
      <c r="M426" s="53"/>
    </row>
    <row r="427" spans="12:13" x14ac:dyDescent="0.2">
      <c r="L427" s="52"/>
      <c r="M427" s="53"/>
    </row>
    <row r="428" spans="12:13" x14ac:dyDescent="0.2">
      <c r="L428" s="52"/>
      <c r="M428" s="53"/>
    </row>
    <row r="429" spans="12:13" x14ac:dyDescent="0.2">
      <c r="L429" s="52"/>
      <c r="M429" s="53"/>
    </row>
    <row r="430" spans="12:13" x14ac:dyDescent="0.2">
      <c r="L430" s="52"/>
      <c r="M430" s="53"/>
    </row>
    <row r="431" spans="12:13" x14ac:dyDescent="0.2">
      <c r="L431" s="52"/>
      <c r="M431" s="53"/>
    </row>
    <row r="432" spans="12:13" x14ac:dyDescent="0.2">
      <c r="L432" s="52"/>
      <c r="M432" s="53"/>
    </row>
    <row r="433" spans="12:13" x14ac:dyDescent="0.2">
      <c r="L433" s="52"/>
      <c r="M433" s="53"/>
    </row>
    <row r="434" spans="12:13" x14ac:dyDescent="0.2">
      <c r="L434" s="52"/>
      <c r="M434" s="53"/>
    </row>
    <row r="435" spans="12:13" x14ac:dyDescent="0.2">
      <c r="L435" s="52"/>
      <c r="M435" s="53"/>
    </row>
    <row r="436" spans="12:13" x14ac:dyDescent="0.2">
      <c r="L436" s="52"/>
      <c r="M436" s="53"/>
    </row>
    <row r="437" spans="12:13" x14ac:dyDescent="0.2">
      <c r="L437" s="52"/>
      <c r="M437" s="53"/>
    </row>
    <row r="438" spans="12:13" x14ac:dyDescent="0.2">
      <c r="L438" s="52"/>
      <c r="M438" s="53"/>
    </row>
    <row r="439" spans="12:13" x14ac:dyDescent="0.2">
      <c r="L439" s="52"/>
      <c r="M439" s="53"/>
    </row>
    <row r="440" spans="12:13" x14ac:dyDescent="0.2">
      <c r="L440" s="52"/>
      <c r="M440" s="53"/>
    </row>
    <row r="441" spans="12:13" x14ac:dyDescent="0.2">
      <c r="L441" s="52"/>
      <c r="M441" s="53"/>
    </row>
    <row r="442" spans="12:13" x14ac:dyDescent="0.2">
      <c r="L442" s="52"/>
      <c r="M442" s="53"/>
    </row>
    <row r="443" spans="12:13" x14ac:dyDescent="0.2">
      <c r="L443" s="52"/>
      <c r="M443" s="53"/>
    </row>
    <row r="444" spans="12:13" x14ac:dyDescent="0.2">
      <c r="L444" s="52"/>
      <c r="M444" s="53"/>
    </row>
    <row r="445" spans="12:13" x14ac:dyDescent="0.2">
      <c r="L445" s="52"/>
      <c r="M445" s="53"/>
    </row>
    <row r="446" spans="12:13" x14ac:dyDescent="0.2">
      <c r="L446" s="52"/>
      <c r="M446" s="53"/>
    </row>
    <row r="447" spans="12:13" x14ac:dyDescent="0.2">
      <c r="L447" s="52"/>
      <c r="M447" s="53"/>
    </row>
    <row r="448" spans="12:13" x14ac:dyDescent="0.2">
      <c r="L448" s="52"/>
      <c r="M448" s="53"/>
    </row>
    <row r="449" spans="12:13" x14ac:dyDescent="0.2">
      <c r="L449" s="52"/>
      <c r="M449" s="53"/>
    </row>
    <row r="450" spans="12:13" x14ac:dyDescent="0.2">
      <c r="L450" s="52"/>
      <c r="M450" s="53"/>
    </row>
    <row r="451" spans="12:13" x14ac:dyDescent="0.2">
      <c r="L451" s="52"/>
      <c r="M451" s="53"/>
    </row>
    <row r="452" spans="12:13" x14ac:dyDescent="0.2">
      <c r="L452" s="52"/>
      <c r="M452" s="53"/>
    </row>
    <row r="453" spans="12:13" x14ac:dyDescent="0.2">
      <c r="L453" s="52"/>
      <c r="M453" s="53"/>
    </row>
    <row r="454" spans="12:13" x14ac:dyDescent="0.2">
      <c r="L454" s="52"/>
      <c r="M454" s="53"/>
    </row>
    <row r="455" spans="12:13" x14ac:dyDescent="0.2">
      <c r="L455" s="52"/>
      <c r="M455" s="53"/>
    </row>
    <row r="456" spans="12:13" x14ac:dyDescent="0.2">
      <c r="L456" s="52"/>
      <c r="M456" s="53"/>
    </row>
    <row r="457" spans="12:13" x14ac:dyDescent="0.2">
      <c r="L457" s="52"/>
      <c r="M457" s="53"/>
    </row>
    <row r="458" spans="12:13" x14ac:dyDescent="0.2">
      <c r="L458" s="52"/>
      <c r="M458" s="53"/>
    </row>
    <row r="459" spans="12:13" x14ac:dyDescent="0.2">
      <c r="L459" s="52"/>
      <c r="M459" s="53"/>
    </row>
    <row r="460" spans="12:13" x14ac:dyDescent="0.2">
      <c r="L460" s="52"/>
      <c r="M460" s="53"/>
    </row>
    <row r="461" spans="12:13" x14ac:dyDescent="0.2">
      <c r="L461" s="52"/>
      <c r="M461" s="53"/>
    </row>
    <row r="462" spans="12:13" x14ac:dyDescent="0.2">
      <c r="L462" s="52"/>
      <c r="M462" s="53"/>
    </row>
    <row r="463" spans="12:13" x14ac:dyDescent="0.2">
      <c r="L463" s="52"/>
      <c r="M463" s="53"/>
    </row>
    <row r="464" spans="12:13" x14ac:dyDescent="0.2">
      <c r="L464" s="52"/>
      <c r="M464" s="53"/>
    </row>
    <row r="465" spans="12:13" x14ac:dyDescent="0.2">
      <c r="L465" s="52"/>
      <c r="M465" s="53"/>
    </row>
    <row r="466" spans="12:13" x14ac:dyDescent="0.2">
      <c r="L466" s="52"/>
      <c r="M466" s="53"/>
    </row>
    <row r="467" spans="12:13" x14ac:dyDescent="0.2">
      <c r="L467" s="52"/>
      <c r="M467" s="53"/>
    </row>
    <row r="468" spans="12:13" x14ac:dyDescent="0.2">
      <c r="L468" s="52"/>
      <c r="M468" s="53"/>
    </row>
    <row r="469" spans="12:13" x14ac:dyDescent="0.2">
      <c r="L469" s="52"/>
      <c r="M469" s="53"/>
    </row>
    <row r="470" spans="12:13" x14ac:dyDescent="0.2">
      <c r="L470" s="52"/>
      <c r="M470" s="53"/>
    </row>
    <row r="471" spans="12:13" x14ac:dyDescent="0.2">
      <c r="L471" s="52"/>
      <c r="M471" s="53"/>
    </row>
    <row r="472" spans="12:13" x14ac:dyDescent="0.2">
      <c r="L472" s="52"/>
      <c r="M472" s="53"/>
    </row>
    <row r="473" spans="12:13" x14ac:dyDescent="0.2">
      <c r="L473" s="52"/>
      <c r="M473" s="53"/>
    </row>
    <row r="474" spans="12:13" x14ac:dyDescent="0.2">
      <c r="L474" s="52"/>
      <c r="M474" s="53"/>
    </row>
    <row r="475" spans="12:13" x14ac:dyDescent="0.2">
      <c r="L475" s="52"/>
      <c r="M475" s="53"/>
    </row>
    <row r="476" spans="12:13" x14ac:dyDescent="0.2">
      <c r="L476" s="52"/>
      <c r="M476" s="53"/>
    </row>
    <row r="477" spans="12:13" x14ac:dyDescent="0.2">
      <c r="L477" s="52"/>
      <c r="M477" s="53"/>
    </row>
    <row r="478" spans="12:13" x14ac:dyDescent="0.2">
      <c r="L478" s="52"/>
      <c r="M478" s="53"/>
    </row>
    <row r="479" spans="12:13" x14ac:dyDescent="0.2">
      <c r="L479" s="52"/>
      <c r="M479" s="53"/>
    </row>
    <row r="480" spans="12:13" x14ac:dyDescent="0.2">
      <c r="L480" s="52"/>
      <c r="M480" s="53"/>
    </row>
    <row r="481" spans="12:13" x14ac:dyDescent="0.2">
      <c r="L481" s="52"/>
      <c r="M481" s="53"/>
    </row>
    <row r="482" spans="12:13" x14ac:dyDescent="0.2">
      <c r="L482" s="52"/>
      <c r="M482" s="53"/>
    </row>
    <row r="483" spans="12:13" x14ac:dyDescent="0.2">
      <c r="L483" s="52"/>
      <c r="M483" s="53"/>
    </row>
    <row r="484" spans="12:13" x14ac:dyDescent="0.2">
      <c r="L484" s="52"/>
      <c r="M484" s="53"/>
    </row>
    <row r="485" spans="12:13" x14ac:dyDescent="0.2">
      <c r="L485" s="52"/>
      <c r="M485" s="53"/>
    </row>
    <row r="486" spans="12:13" x14ac:dyDescent="0.2">
      <c r="L486" s="52"/>
      <c r="M486" s="53"/>
    </row>
    <row r="487" spans="12:13" x14ac:dyDescent="0.2">
      <c r="L487" s="52"/>
      <c r="M487" s="53"/>
    </row>
    <row r="488" spans="12:13" x14ac:dyDescent="0.2">
      <c r="L488" s="52"/>
      <c r="M488" s="53"/>
    </row>
    <row r="489" spans="12:13" x14ac:dyDescent="0.2">
      <c r="L489" s="52"/>
      <c r="M489" s="53"/>
    </row>
    <row r="490" spans="12:13" x14ac:dyDescent="0.2">
      <c r="L490" s="52"/>
      <c r="M490" s="53"/>
    </row>
    <row r="491" spans="12:13" x14ac:dyDescent="0.2">
      <c r="L491" s="52"/>
      <c r="M491" s="53"/>
    </row>
    <row r="492" spans="12:13" x14ac:dyDescent="0.2">
      <c r="L492" s="52"/>
      <c r="M492" s="53"/>
    </row>
    <row r="493" spans="12:13" x14ac:dyDescent="0.2">
      <c r="L493" s="52"/>
      <c r="M493" s="53"/>
    </row>
    <row r="494" spans="12:13" x14ac:dyDescent="0.2">
      <c r="L494" s="52"/>
      <c r="M494" s="53"/>
    </row>
    <row r="495" spans="12:13" x14ac:dyDescent="0.2">
      <c r="L495" s="52"/>
      <c r="M495" s="53"/>
    </row>
    <row r="496" spans="12:13" x14ac:dyDescent="0.2">
      <c r="L496" s="52"/>
      <c r="M496" s="53"/>
    </row>
    <row r="497" spans="12:13" x14ac:dyDescent="0.2">
      <c r="L497" s="52"/>
      <c r="M497" s="53"/>
    </row>
    <row r="498" spans="12:13" x14ac:dyDescent="0.2">
      <c r="L498" s="52"/>
      <c r="M498" s="53"/>
    </row>
    <row r="499" spans="12:13" x14ac:dyDescent="0.2">
      <c r="L499" s="52"/>
      <c r="M499" s="53"/>
    </row>
    <row r="500" spans="12:13" x14ac:dyDescent="0.2">
      <c r="L500" s="52"/>
      <c r="M500" s="53"/>
    </row>
    <row r="501" spans="12:13" x14ac:dyDescent="0.2">
      <c r="L501" s="52"/>
      <c r="M501" s="53"/>
    </row>
    <row r="502" spans="12:13" x14ac:dyDescent="0.2">
      <c r="L502" s="52"/>
      <c r="M502" s="53"/>
    </row>
    <row r="503" spans="12:13" x14ac:dyDescent="0.2">
      <c r="L503" s="52"/>
      <c r="M503" s="53"/>
    </row>
    <row r="504" spans="12:13" x14ac:dyDescent="0.2">
      <c r="L504" s="52"/>
      <c r="M504" s="53"/>
    </row>
    <row r="505" spans="12:13" x14ac:dyDescent="0.2">
      <c r="L505" s="52"/>
      <c r="M505" s="53"/>
    </row>
    <row r="506" spans="12:13" x14ac:dyDescent="0.2">
      <c r="L506" s="52"/>
      <c r="M506" s="53"/>
    </row>
    <row r="507" spans="12:13" x14ac:dyDescent="0.2">
      <c r="L507" s="52"/>
      <c r="M507" s="53"/>
    </row>
    <row r="508" spans="12:13" x14ac:dyDescent="0.2">
      <c r="L508" s="52"/>
      <c r="M508" s="53"/>
    </row>
    <row r="509" spans="12:13" x14ac:dyDescent="0.2">
      <c r="L509" s="52"/>
      <c r="M509" s="53"/>
    </row>
    <row r="510" spans="12:13" x14ac:dyDescent="0.2">
      <c r="L510" s="52"/>
      <c r="M510" s="53"/>
    </row>
    <row r="511" spans="12:13" x14ac:dyDescent="0.2">
      <c r="L511" s="52"/>
      <c r="M511" s="53"/>
    </row>
    <row r="512" spans="12:13" x14ac:dyDescent="0.2">
      <c r="L512" s="52"/>
      <c r="M512" s="53"/>
    </row>
    <row r="513" spans="12:13" x14ac:dyDescent="0.2">
      <c r="L513" s="52"/>
      <c r="M513" s="53"/>
    </row>
    <row r="514" spans="12:13" x14ac:dyDescent="0.2">
      <c r="L514" s="52"/>
      <c r="M514" s="53"/>
    </row>
    <row r="515" spans="12:13" x14ac:dyDescent="0.2">
      <c r="L515" s="52"/>
      <c r="M515" s="53"/>
    </row>
    <row r="516" spans="12:13" x14ac:dyDescent="0.2">
      <c r="L516" s="52"/>
      <c r="M516" s="53"/>
    </row>
    <row r="517" spans="12:13" x14ac:dyDescent="0.2">
      <c r="L517" s="52"/>
      <c r="M517" s="53"/>
    </row>
    <row r="518" spans="12:13" x14ac:dyDescent="0.2">
      <c r="L518" s="52"/>
      <c r="M518" s="53"/>
    </row>
    <row r="519" spans="12:13" x14ac:dyDescent="0.2">
      <c r="L519" s="52"/>
      <c r="M519" s="53"/>
    </row>
    <row r="520" spans="12:13" x14ac:dyDescent="0.2">
      <c r="L520" s="52"/>
      <c r="M520" s="53"/>
    </row>
    <row r="521" spans="12:13" x14ac:dyDescent="0.2">
      <c r="L521" s="52"/>
      <c r="M521" s="53"/>
    </row>
    <row r="522" spans="12:13" x14ac:dyDescent="0.2">
      <c r="L522" s="52"/>
      <c r="M522" s="53"/>
    </row>
    <row r="523" spans="12:13" x14ac:dyDescent="0.2">
      <c r="L523" s="52"/>
      <c r="M523" s="53"/>
    </row>
    <row r="524" spans="12:13" x14ac:dyDescent="0.2">
      <c r="L524" s="52"/>
      <c r="M524" s="53"/>
    </row>
    <row r="525" spans="12:13" x14ac:dyDescent="0.2">
      <c r="L525" s="52"/>
      <c r="M525" s="53"/>
    </row>
    <row r="526" spans="12:13" x14ac:dyDescent="0.2">
      <c r="L526" s="52"/>
      <c r="M526" s="53"/>
    </row>
    <row r="527" spans="12:13" x14ac:dyDescent="0.2">
      <c r="L527" s="52"/>
      <c r="M527" s="53"/>
    </row>
    <row r="528" spans="12:13" x14ac:dyDescent="0.2">
      <c r="L528" s="52"/>
      <c r="M528" s="53"/>
    </row>
    <row r="529" spans="12:13" x14ac:dyDescent="0.2">
      <c r="L529" s="52"/>
      <c r="M529" s="53"/>
    </row>
    <row r="530" spans="12:13" x14ac:dyDescent="0.2">
      <c r="L530" s="52"/>
      <c r="M530" s="53"/>
    </row>
    <row r="531" spans="12:13" x14ac:dyDescent="0.2">
      <c r="L531" s="52"/>
      <c r="M531" s="53"/>
    </row>
    <row r="532" spans="12:13" x14ac:dyDescent="0.2">
      <c r="L532" s="52"/>
      <c r="M532" s="53"/>
    </row>
    <row r="533" spans="12:13" x14ac:dyDescent="0.2">
      <c r="L533" s="52"/>
      <c r="M533" s="53"/>
    </row>
    <row r="534" spans="12:13" x14ac:dyDescent="0.2">
      <c r="L534" s="52"/>
      <c r="M534" s="53"/>
    </row>
    <row r="535" spans="12:13" x14ac:dyDescent="0.2">
      <c r="L535" s="52"/>
      <c r="M535" s="53"/>
    </row>
    <row r="536" spans="12:13" x14ac:dyDescent="0.2">
      <c r="L536" s="52"/>
      <c r="M536" s="53"/>
    </row>
    <row r="537" spans="12:13" x14ac:dyDescent="0.2">
      <c r="L537" s="52"/>
      <c r="M537" s="53"/>
    </row>
    <row r="538" spans="12:13" x14ac:dyDescent="0.2">
      <c r="L538" s="52"/>
      <c r="M538" s="53"/>
    </row>
    <row r="539" spans="12:13" x14ac:dyDescent="0.2">
      <c r="L539" s="52"/>
      <c r="M539" s="53"/>
    </row>
    <row r="540" spans="12:13" x14ac:dyDescent="0.2">
      <c r="L540" s="52"/>
      <c r="M540" s="53"/>
    </row>
    <row r="541" spans="12:13" x14ac:dyDescent="0.2">
      <c r="L541" s="52"/>
      <c r="M541" s="53"/>
    </row>
    <row r="542" spans="12:13" x14ac:dyDescent="0.2">
      <c r="L542" s="52"/>
      <c r="M542" s="53"/>
    </row>
    <row r="543" spans="12:13" x14ac:dyDescent="0.2">
      <c r="L543" s="52"/>
      <c r="M543" s="53"/>
    </row>
    <row r="544" spans="12:13" x14ac:dyDescent="0.2">
      <c r="L544" s="52"/>
      <c r="M544" s="53"/>
    </row>
    <row r="545" spans="12:13" x14ac:dyDescent="0.2">
      <c r="L545" s="52"/>
      <c r="M545" s="53"/>
    </row>
    <row r="546" spans="12:13" x14ac:dyDescent="0.2">
      <c r="L546" s="52"/>
      <c r="M546" s="53"/>
    </row>
    <row r="547" spans="12:13" x14ac:dyDescent="0.2">
      <c r="L547" s="52"/>
      <c r="M547" s="53"/>
    </row>
    <row r="548" spans="12:13" x14ac:dyDescent="0.2">
      <c r="L548" s="52"/>
      <c r="M548" s="53"/>
    </row>
    <row r="549" spans="12:13" x14ac:dyDescent="0.2">
      <c r="L549" s="52"/>
      <c r="M549" s="53"/>
    </row>
    <row r="550" spans="12:13" x14ac:dyDescent="0.2">
      <c r="L550" s="52"/>
      <c r="M550" s="53"/>
    </row>
    <row r="551" spans="12:13" x14ac:dyDescent="0.2">
      <c r="L551" s="52"/>
      <c r="M551" s="53"/>
    </row>
    <row r="552" spans="12:13" x14ac:dyDescent="0.2">
      <c r="L552" s="52"/>
      <c r="M552" s="53"/>
    </row>
    <row r="553" spans="12:13" x14ac:dyDescent="0.2">
      <c r="L553" s="52"/>
      <c r="M553" s="53"/>
    </row>
    <row r="554" spans="12:13" x14ac:dyDescent="0.2">
      <c r="L554" s="52"/>
      <c r="M554" s="53"/>
    </row>
    <row r="555" spans="12:13" x14ac:dyDescent="0.2">
      <c r="L555" s="52"/>
      <c r="M555" s="53"/>
    </row>
    <row r="556" spans="12:13" x14ac:dyDescent="0.2">
      <c r="L556" s="52"/>
      <c r="M556" s="53"/>
    </row>
    <row r="557" spans="12:13" x14ac:dyDescent="0.2">
      <c r="L557" s="52"/>
      <c r="M557" s="53"/>
    </row>
    <row r="558" spans="12:13" x14ac:dyDescent="0.2">
      <c r="L558" s="52"/>
      <c r="M558" s="53"/>
    </row>
    <row r="559" spans="12:13" x14ac:dyDescent="0.2">
      <c r="L559" s="52"/>
      <c r="M559" s="53"/>
    </row>
    <row r="560" spans="12:13" x14ac:dyDescent="0.2">
      <c r="L560" s="52"/>
      <c r="M560" s="53"/>
    </row>
    <row r="561" spans="12:13" x14ac:dyDescent="0.2">
      <c r="L561" s="52"/>
      <c r="M561" s="53"/>
    </row>
    <row r="562" spans="12:13" x14ac:dyDescent="0.2">
      <c r="L562" s="52"/>
      <c r="M562" s="53"/>
    </row>
    <row r="563" spans="12:13" x14ac:dyDescent="0.2">
      <c r="L563" s="52"/>
      <c r="M563" s="53"/>
    </row>
    <row r="564" spans="12:13" x14ac:dyDescent="0.2">
      <c r="L564" s="52"/>
      <c r="M564" s="53"/>
    </row>
    <row r="565" spans="12:13" x14ac:dyDescent="0.2">
      <c r="L565" s="52"/>
      <c r="M565" s="53"/>
    </row>
    <row r="566" spans="12:13" x14ac:dyDescent="0.2">
      <c r="L566" s="52"/>
      <c r="M566" s="53"/>
    </row>
    <row r="567" spans="12:13" x14ac:dyDescent="0.2">
      <c r="L567" s="52"/>
      <c r="M567" s="53"/>
    </row>
    <row r="568" spans="12:13" x14ac:dyDescent="0.2">
      <c r="L568" s="52"/>
      <c r="M568" s="53"/>
    </row>
    <row r="569" spans="12:13" x14ac:dyDescent="0.2">
      <c r="L569" s="52"/>
      <c r="M569" s="53"/>
    </row>
    <row r="570" spans="12:13" x14ac:dyDescent="0.2">
      <c r="L570" s="52"/>
      <c r="M570" s="53"/>
    </row>
    <row r="571" spans="12:13" x14ac:dyDescent="0.2">
      <c r="L571" s="52"/>
      <c r="M571" s="53"/>
    </row>
    <row r="572" spans="12:13" x14ac:dyDescent="0.2">
      <c r="L572" s="52"/>
      <c r="M572" s="53"/>
    </row>
    <row r="573" spans="12:13" x14ac:dyDescent="0.2">
      <c r="L573" s="52"/>
      <c r="M573" s="53"/>
    </row>
    <row r="574" spans="12:13" x14ac:dyDescent="0.2">
      <c r="L574" s="52"/>
      <c r="M574" s="53"/>
    </row>
    <row r="575" spans="12:13" x14ac:dyDescent="0.2">
      <c r="L575" s="52"/>
      <c r="M575" s="53"/>
    </row>
    <row r="576" spans="12:13" x14ac:dyDescent="0.2">
      <c r="L576" s="52"/>
      <c r="M576" s="53"/>
    </row>
    <row r="577" spans="12:13" x14ac:dyDescent="0.2">
      <c r="L577" s="52"/>
      <c r="M577" s="53"/>
    </row>
    <row r="578" spans="12:13" x14ac:dyDescent="0.2">
      <c r="L578" s="52"/>
      <c r="M578" s="53"/>
    </row>
    <row r="579" spans="12:13" x14ac:dyDescent="0.2">
      <c r="L579" s="52"/>
      <c r="M579" s="53"/>
    </row>
    <row r="580" spans="12:13" x14ac:dyDescent="0.2">
      <c r="L580" s="52"/>
      <c r="M580" s="53"/>
    </row>
    <row r="581" spans="12:13" x14ac:dyDescent="0.2">
      <c r="L581" s="52"/>
      <c r="M581" s="53"/>
    </row>
    <row r="582" spans="12:13" x14ac:dyDescent="0.2">
      <c r="L582" s="52"/>
      <c r="M582" s="53"/>
    </row>
    <row r="583" spans="12:13" x14ac:dyDescent="0.2">
      <c r="L583" s="52"/>
      <c r="M583" s="53"/>
    </row>
    <row r="584" spans="12:13" x14ac:dyDescent="0.2">
      <c r="L584" s="52"/>
      <c r="M584" s="53"/>
    </row>
    <row r="585" spans="12:13" x14ac:dyDescent="0.2">
      <c r="L585" s="52"/>
      <c r="M585" s="53"/>
    </row>
    <row r="586" spans="12:13" x14ac:dyDescent="0.2">
      <c r="L586" s="52"/>
      <c r="M586" s="53"/>
    </row>
    <row r="587" spans="12:13" x14ac:dyDescent="0.2">
      <c r="L587" s="52"/>
      <c r="M587" s="53"/>
    </row>
    <row r="588" spans="12:13" x14ac:dyDescent="0.2">
      <c r="L588" s="52"/>
      <c r="M588" s="53"/>
    </row>
    <row r="589" spans="12:13" x14ac:dyDescent="0.2">
      <c r="L589" s="52"/>
      <c r="M589" s="53"/>
    </row>
    <row r="590" spans="12:13" x14ac:dyDescent="0.2">
      <c r="L590" s="52"/>
      <c r="M590" s="53"/>
    </row>
    <row r="591" spans="12:13" x14ac:dyDescent="0.2">
      <c r="L591" s="52"/>
      <c r="M591" s="53"/>
    </row>
    <row r="592" spans="12:13" x14ac:dyDescent="0.2">
      <c r="L592" s="52"/>
      <c r="M592" s="53"/>
    </row>
    <row r="593" spans="12:13" x14ac:dyDescent="0.2">
      <c r="L593" s="52"/>
      <c r="M593" s="53"/>
    </row>
    <row r="594" spans="12:13" x14ac:dyDescent="0.2">
      <c r="L594" s="52"/>
      <c r="M594" s="53"/>
    </row>
    <row r="595" spans="12:13" x14ac:dyDescent="0.2">
      <c r="L595" s="52"/>
      <c r="M595" s="53"/>
    </row>
    <row r="596" spans="12:13" x14ac:dyDescent="0.2">
      <c r="L596" s="52"/>
      <c r="M596" s="53"/>
    </row>
    <row r="597" spans="12:13" x14ac:dyDescent="0.2">
      <c r="L597" s="52"/>
      <c r="M597" s="53"/>
    </row>
    <row r="598" spans="12:13" x14ac:dyDescent="0.2">
      <c r="L598" s="52"/>
      <c r="M598" s="53"/>
    </row>
    <row r="599" spans="12:13" x14ac:dyDescent="0.2">
      <c r="L599" s="52"/>
      <c r="M599" s="53"/>
    </row>
    <row r="600" spans="12:13" x14ac:dyDescent="0.2">
      <c r="L600" s="52"/>
      <c r="M600" s="53"/>
    </row>
    <row r="601" spans="12:13" x14ac:dyDescent="0.2">
      <c r="L601" s="52"/>
      <c r="M601" s="53"/>
    </row>
    <row r="602" spans="12:13" x14ac:dyDescent="0.2">
      <c r="L602" s="52"/>
      <c r="M602" s="53"/>
    </row>
    <row r="603" spans="12:13" x14ac:dyDescent="0.2">
      <c r="L603" s="52"/>
      <c r="M603" s="53"/>
    </row>
    <row r="604" spans="12:13" x14ac:dyDescent="0.2">
      <c r="L604" s="52"/>
      <c r="M604" s="53"/>
    </row>
    <row r="605" spans="12:13" x14ac:dyDescent="0.2">
      <c r="L605" s="52"/>
      <c r="M605" s="53"/>
    </row>
    <row r="606" spans="12:13" x14ac:dyDescent="0.2">
      <c r="L606" s="52"/>
      <c r="M606" s="53"/>
    </row>
    <row r="607" spans="12:13" x14ac:dyDescent="0.2">
      <c r="L607" s="52"/>
      <c r="M607" s="53"/>
    </row>
    <row r="608" spans="12:13" x14ac:dyDescent="0.2">
      <c r="L608" s="52"/>
      <c r="M608" s="53"/>
    </row>
    <row r="609" spans="12:13" x14ac:dyDescent="0.2">
      <c r="L609" s="52"/>
      <c r="M609" s="53"/>
    </row>
    <row r="610" spans="12:13" x14ac:dyDescent="0.2">
      <c r="L610" s="52"/>
      <c r="M610" s="53"/>
    </row>
    <row r="611" spans="12:13" x14ac:dyDescent="0.2">
      <c r="L611" s="52"/>
      <c r="M611" s="53"/>
    </row>
    <row r="612" spans="12:13" x14ac:dyDescent="0.2">
      <c r="L612" s="52"/>
      <c r="M612" s="53"/>
    </row>
    <row r="613" spans="12:13" x14ac:dyDescent="0.2">
      <c r="L613" s="52"/>
      <c r="M613" s="53"/>
    </row>
    <row r="614" spans="12:13" x14ac:dyDescent="0.2">
      <c r="L614" s="52"/>
      <c r="M614" s="53"/>
    </row>
    <row r="615" spans="12:13" x14ac:dyDescent="0.2">
      <c r="L615" s="52"/>
      <c r="M615" s="53"/>
    </row>
    <row r="616" spans="12:13" x14ac:dyDescent="0.2">
      <c r="L616" s="52"/>
      <c r="M616" s="53"/>
    </row>
    <row r="617" spans="12:13" x14ac:dyDescent="0.2">
      <c r="L617" s="52"/>
      <c r="M617" s="53"/>
    </row>
    <row r="618" spans="12:13" x14ac:dyDescent="0.2">
      <c r="L618" s="52"/>
      <c r="M618" s="53"/>
    </row>
    <row r="619" spans="12:13" x14ac:dyDescent="0.2">
      <c r="L619" s="52"/>
      <c r="M619" s="53"/>
    </row>
    <row r="620" spans="12:13" x14ac:dyDescent="0.2">
      <c r="L620" s="52"/>
      <c r="M620" s="53"/>
    </row>
    <row r="621" spans="12:13" x14ac:dyDescent="0.2">
      <c r="L621" s="52"/>
      <c r="M621" s="53"/>
    </row>
    <row r="622" spans="12:13" x14ac:dyDescent="0.2">
      <c r="L622" s="52"/>
      <c r="M622" s="53"/>
    </row>
    <row r="623" spans="12:13" x14ac:dyDescent="0.2">
      <c r="L623" s="52"/>
      <c r="M623" s="53"/>
    </row>
    <row r="624" spans="12:13" x14ac:dyDescent="0.2">
      <c r="L624" s="52"/>
      <c r="M624" s="53"/>
    </row>
    <row r="625" spans="12:13" x14ac:dyDescent="0.2">
      <c r="L625" s="52"/>
      <c r="M625" s="53"/>
    </row>
    <row r="626" spans="12:13" x14ac:dyDescent="0.2">
      <c r="L626" s="52"/>
      <c r="M626" s="53"/>
    </row>
    <row r="627" spans="12:13" x14ac:dyDescent="0.2">
      <c r="L627" s="52"/>
      <c r="M627" s="53"/>
    </row>
    <row r="628" spans="12:13" x14ac:dyDescent="0.2">
      <c r="L628" s="52"/>
      <c r="M628" s="53"/>
    </row>
    <row r="629" spans="12:13" x14ac:dyDescent="0.2">
      <c r="L629" s="52"/>
      <c r="M629" s="53"/>
    </row>
    <row r="630" spans="12:13" x14ac:dyDescent="0.2">
      <c r="L630" s="52"/>
      <c r="M630" s="53"/>
    </row>
    <row r="631" spans="12:13" x14ac:dyDescent="0.2">
      <c r="L631" s="52"/>
      <c r="M631" s="53"/>
    </row>
    <row r="632" spans="12:13" x14ac:dyDescent="0.2">
      <c r="L632" s="52"/>
      <c r="M632" s="53"/>
    </row>
    <row r="633" spans="12:13" x14ac:dyDescent="0.2">
      <c r="L633" s="52"/>
      <c r="M633" s="53"/>
    </row>
    <row r="634" spans="12:13" x14ac:dyDescent="0.2">
      <c r="L634" s="52"/>
      <c r="M634" s="53"/>
    </row>
    <row r="635" spans="12:13" x14ac:dyDescent="0.2">
      <c r="L635" s="52"/>
      <c r="M635" s="53"/>
    </row>
    <row r="636" spans="12:13" x14ac:dyDescent="0.2">
      <c r="L636" s="52"/>
      <c r="M636" s="53"/>
    </row>
    <row r="637" spans="12:13" x14ac:dyDescent="0.2">
      <c r="L637" s="52"/>
      <c r="M637" s="53"/>
    </row>
    <row r="638" spans="12:13" x14ac:dyDescent="0.2">
      <c r="L638" s="52"/>
      <c r="M638" s="53"/>
    </row>
    <row r="639" spans="12:13" x14ac:dyDescent="0.2">
      <c r="L639" s="52"/>
      <c r="M639" s="53"/>
    </row>
    <row r="640" spans="12:13" x14ac:dyDescent="0.2">
      <c r="L640" s="52"/>
      <c r="M640" s="53"/>
    </row>
    <row r="641" spans="12:13" x14ac:dyDescent="0.2">
      <c r="L641" s="52"/>
      <c r="M641" s="53"/>
    </row>
    <row r="642" spans="12:13" x14ac:dyDescent="0.2">
      <c r="L642" s="52"/>
      <c r="M642" s="53"/>
    </row>
    <row r="643" spans="12:13" x14ac:dyDescent="0.2">
      <c r="L643" s="52"/>
      <c r="M643" s="53"/>
    </row>
    <row r="644" spans="12:13" x14ac:dyDescent="0.2">
      <c r="L644" s="52"/>
      <c r="M644" s="53"/>
    </row>
    <row r="645" spans="12:13" x14ac:dyDescent="0.2">
      <c r="L645" s="52"/>
      <c r="M645" s="53"/>
    </row>
    <row r="646" spans="12:13" x14ac:dyDescent="0.2">
      <c r="L646" s="52"/>
      <c r="M646" s="53"/>
    </row>
    <row r="647" spans="12:13" x14ac:dyDescent="0.2">
      <c r="L647" s="52"/>
      <c r="M647" s="53"/>
    </row>
    <row r="648" spans="12:13" x14ac:dyDescent="0.2">
      <c r="L648" s="52"/>
      <c r="M648" s="53"/>
    </row>
    <row r="649" spans="12:13" x14ac:dyDescent="0.2">
      <c r="L649" s="52"/>
      <c r="M649" s="53"/>
    </row>
    <row r="650" spans="12:13" x14ac:dyDescent="0.2">
      <c r="L650" s="52"/>
      <c r="M650" s="53"/>
    </row>
    <row r="651" spans="12:13" x14ac:dyDescent="0.2">
      <c r="L651" s="52"/>
      <c r="M651" s="53"/>
    </row>
    <row r="652" spans="12:13" x14ac:dyDescent="0.2">
      <c r="L652" s="52"/>
      <c r="M652" s="53"/>
    </row>
    <row r="653" spans="12:13" x14ac:dyDescent="0.2">
      <c r="L653" s="52"/>
      <c r="M653" s="53"/>
    </row>
    <row r="654" spans="12:13" x14ac:dyDescent="0.2">
      <c r="L654" s="52"/>
      <c r="M654" s="53"/>
    </row>
    <row r="655" spans="12:13" x14ac:dyDescent="0.2">
      <c r="L655" s="52"/>
      <c r="M655" s="53"/>
    </row>
    <row r="656" spans="12:13" x14ac:dyDescent="0.2">
      <c r="L656" s="52"/>
      <c r="M656" s="53"/>
    </row>
    <row r="657" spans="12:13" x14ac:dyDescent="0.2">
      <c r="L657" s="52"/>
      <c r="M657" s="53"/>
    </row>
    <row r="658" spans="12:13" x14ac:dyDescent="0.2">
      <c r="L658" s="52"/>
      <c r="M658" s="53"/>
    </row>
    <row r="659" spans="12:13" x14ac:dyDescent="0.2">
      <c r="L659" s="52"/>
      <c r="M659" s="53"/>
    </row>
    <row r="660" spans="12:13" x14ac:dyDescent="0.2">
      <c r="L660" s="52"/>
      <c r="M660" s="53"/>
    </row>
    <row r="661" spans="12:13" x14ac:dyDescent="0.2">
      <c r="L661" s="52"/>
      <c r="M661" s="53"/>
    </row>
    <row r="662" spans="12:13" x14ac:dyDescent="0.2">
      <c r="L662" s="52"/>
      <c r="M662" s="53"/>
    </row>
    <row r="663" spans="12:13" x14ac:dyDescent="0.2">
      <c r="L663" s="52"/>
      <c r="M663" s="53"/>
    </row>
    <row r="664" spans="12:13" x14ac:dyDescent="0.2">
      <c r="L664" s="52"/>
      <c r="M664" s="53"/>
    </row>
    <row r="665" spans="12:13" x14ac:dyDescent="0.2">
      <c r="L665" s="52"/>
      <c r="M665" s="53"/>
    </row>
    <row r="666" spans="12:13" x14ac:dyDescent="0.2">
      <c r="L666" s="52"/>
      <c r="M666" s="53"/>
    </row>
    <row r="667" spans="12:13" x14ac:dyDescent="0.2">
      <c r="L667" s="52"/>
      <c r="M667" s="53"/>
    </row>
    <row r="668" spans="12:13" x14ac:dyDescent="0.2">
      <c r="L668" s="52"/>
      <c r="M668" s="53"/>
    </row>
    <row r="669" spans="12:13" x14ac:dyDescent="0.2">
      <c r="L669" s="52"/>
      <c r="M669" s="53"/>
    </row>
    <row r="670" spans="12:13" x14ac:dyDescent="0.2">
      <c r="L670" s="52"/>
      <c r="M670" s="53"/>
    </row>
    <row r="671" spans="12:13" x14ac:dyDescent="0.2">
      <c r="L671" s="52"/>
      <c r="M671" s="53"/>
    </row>
    <row r="672" spans="12:13" x14ac:dyDescent="0.2">
      <c r="L672" s="52"/>
      <c r="M672" s="53"/>
    </row>
    <row r="673" spans="12:13" x14ac:dyDescent="0.2">
      <c r="L673" s="52"/>
      <c r="M673" s="53"/>
    </row>
    <row r="674" spans="12:13" x14ac:dyDescent="0.2">
      <c r="L674" s="52"/>
      <c r="M674" s="53"/>
    </row>
    <row r="675" spans="12:13" x14ac:dyDescent="0.2">
      <c r="L675" s="52"/>
      <c r="M675" s="53"/>
    </row>
    <row r="676" spans="12:13" x14ac:dyDescent="0.2">
      <c r="L676" s="52"/>
      <c r="M676" s="53"/>
    </row>
    <row r="677" spans="12:13" x14ac:dyDescent="0.2">
      <c r="L677" s="52"/>
      <c r="M677" s="53"/>
    </row>
    <row r="678" spans="12:13" x14ac:dyDescent="0.2">
      <c r="L678" s="52"/>
      <c r="M678" s="53"/>
    </row>
    <row r="679" spans="12:13" x14ac:dyDescent="0.2">
      <c r="L679" s="52"/>
      <c r="M679" s="53"/>
    </row>
    <row r="680" spans="12:13" x14ac:dyDescent="0.2">
      <c r="L680" s="52"/>
      <c r="M680" s="53"/>
    </row>
    <row r="681" spans="12:13" x14ac:dyDescent="0.2">
      <c r="L681" s="52"/>
      <c r="M681" s="53"/>
    </row>
    <row r="682" spans="12:13" x14ac:dyDescent="0.2">
      <c r="L682" s="52"/>
      <c r="M682" s="53"/>
    </row>
    <row r="683" spans="12:13" x14ac:dyDescent="0.2">
      <c r="L683" s="52"/>
      <c r="M683" s="53"/>
    </row>
    <row r="684" spans="12:13" x14ac:dyDescent="0.2">
      <c r="L684" s="52"/>
      <c r="M684" s="53"/>
    </row>
    <row r="685" spans="12:13" x14ac:dyDescent="0.2">
      <c r="L685" s="52"/>
      <c r="M685" s="53"/>
    </row>
    <row r="686" spans="12:13" x14ac:dyDescent="0.2">
      <c r="L686" s="52"/>
      <c r="M686" s="53"/>
    </row>
    <row r="687" spans="12:13" x14ac:dyDescent="0.2">
      <c r="L687" s="52"/>
      <c r="M687" s="53"/>
    </row>
    <row r="688" spans="12:13" x14ac:dyDescent="0.2">
      <c r="L688" s="52"/>
      <c r="M688" s="53"/>
    </row>
    <row r="689" spans="12:13" x14ac:dyDescent="0.2">
      <c r="L689" s="52"/>
      <c r="M689" s="53"/>
    </row>
    <row r="690" spans="12:13" x14ac:dyDescent="0.2">
      <c r="L690" s="52"/>
      <c r="M690" s="53"/>
    </row>
    <row r="691" spans="12:13" x14ac:dyDescent="0.2">
      <c r="L691" s="52"/>
      <c r="M691" s="53"/>
    </row>
    <row r="692" spans="12:13" x14ac:dyDescent="0.2">
      <c r="L692" s="52"/>
      <c r="M692" s="53"/>
    </row>
    <row r="693" spans="12:13" x14ac:dyDescent="0.2">
      <c r="L693" s="52"/>
      <c r="M693" s="53"/>
    </row>
    <row r="694" spans="12:13" x14ac:dyDescent="0.2">
      <c r="L694" s="52"/>
      <c r="M694" s="53"/>
    </row>
    <row r="695" spans="12:13" x14ac:dyDescent="0.2">
      <c r="L695" s="52"/>
      <c r="M695" s="53"/>
    </row>
    <row r="696" spans="12:13" x14ac:dyDescent="0.2">
      <c r="L696" s="52"/>
      <c r="M696" s="53"/>
    </row>
    <row r="697" spans="12:13" x14ac:dyDescent="0.2">
      <c r="L697" s="52"/>
      <c r="M697" s="53"/>
    </row>
    <row r="698" spans="12:13" x14ac:dyDescent="0.2">
      <c r="L698" s="52"/>
      <c r="M698" s="53"/>
    </row>
    <row r="699" spans="12:13" x14ac:dyDescent="0.2">
      <c r="L699" s="52"/>
      <c r="M699" s="53"/>
    </row>
    <row r="700" spans="12:13" x14ac:dyDescent="0.2">
      <c r="L700" s="52"/>
      <c r="M700" s="53"/>
    </row>
    <row r="701" spans="12:13" x14ac:dyDescent="0.2">
      <c r="L701" s="52"/>
      <c r="M701" s="53"/>
    </row>
    <row r="702" spans="12:13" x14ac:dyDescent="0.2">
      <c r="L702" s="52"/>
      <c r="M702" s="53"/>
    </row>
    <row r="703" spans="12:13" x14ac:dyDescent="0.2">
      <c r="L703" s="52"/>
      <c r="M703" s="53"/>
    </row>
    <row r="704" spans="12:13" x14ac:dyDescent="0.2">
      <c r="L704" s="52"/>
      <c r="M704" s="53"/>
    </row>
    <row r="705" spans="12:13" x14ac:dyDescent="0.2">
      <c r="L705" s="52"/>
      <c r="M705" s="53"/>
    </row>
    <row r="706" spans="12:13" x14ac:dyDescent="0.2">
      <c r="L706" s="52"/>
      <c r="M706" s="53"/>
    </row>
    <row r="707" spans="12:13" x14ac:dyDescent="0.2">
      <c r="L707" s="52"/>
      <c r="M707" s="53"/>
    </row>
    <row r="708" spans="12:13" x14ac:dyDescent="0.2">
      <c r="L708" s="52"/>
      <c r="M708" s="53"/>
    </row>
    <row r="709" spans="12:13" x14ac:dyDescent="0.2">
      <c r="L709" s="52"/>
      <c r="M709" s="53"/>
    </row>
    <row r="710" spans="12:13" x14ac:dyDescent="0.2">
      <c r="L710" s="52"/>
      <c r="M710" s="53"/>
    </row>
    <row r="711" spans="12:13" x14ac:dyDescent="0.2">
      <c r="L711" s="52"/>
      <c r="M711" s="53"/>
    </row>
    <row r="712" spans="12:13" x14ac:dyDescent="0.2">
      <c r="L712" s="52"/>
      <c r="M712" s="53"/>
    </row>
    <row r="713" spans="12:13" x14ac:dyDescent="0.2">
      <c r="L713" s="52"/>
      <c r="M713" s="53"/>
    </row>
    <row r="714" spans="12:13" x14ac:dyDescent="0.2">
      <c r="L714" s="52"/>
      <c r="M714" s="53"/>
    </row>
    <row r="715" spans="12:13" x14ac:dyDescent="0.2">
      <c r="L715" s="52"/>
      <c r="M715" s="53"/>
    </row>
    <row r="716" spans="12:13" x14ac:dyDescent="0.2">
      <c r="L716" s="52"/>
      <c r="M716" s="53"/>
    </row>
    <row r="717" spans="12:13" x14ac:dyDescent="0.2">
      <c r="L717" s="52"/>
      <c r="M717" s="53"/>
    </row>
    <row r="718" spans="12:13" x14ac:dyDescent="0.2">
      <c r="L718" s="52"/>
      <c r="M718" s="53"/>
    </row>
    <row r="719" spans="12:13" x14ac:dyDescent="0.2">
      <c r="L719" s="52"/>
      <c r="M719" s="53"/>
    </row>
    <row r="720" spans="12:13" x14ac:dyDescent="0.2">
      <c r="L720" s="52"/>
      <c r="M720" s="53"/>
    </row>
    <row r="721" spans="12:13" x14ac:dyDescent="0.2">
      <c r="L721" s="52"/>
      <c r="M721" s="53"/>
    </row>
    <row r="722" spans="12:13" x14ac:dyDescent="0.2">
      <c r="L722" s="52"/>
      <c r="M722" s="53"/>
    </row>
    <row r="723" spans="12:13" x14ac:dyDescent="0.2">
      <c r="L723" s="52"/>
      <c r="M723" s="53"/>
    </row>
    <row r="724" spans="12:13" x14ac:dyDescent="0.2">
      <c r="L724" s="52"/>
      <c r="M724" s="53"/>
    </row>
    <row r="725" spans="12:13" x14ac:dyDescent="0.2">
      <c r="L725" s="52"/>
      <c r="M725" s="53"/>
    </row>
    <row r="726" spans="12:13" x14ac:dyDescent="0.2">
      <c r="L726" s="52"/>
      <c r="M726" s="53"/>
    </row>
    <row r="727" spans="12:13" x14ac:dyDescent="0.2">
      <c r="L727" s="52"/>
      <c r="M727" s="53"/>
    </row>
    <row r="728" spans="12:13" x14ac:dyDescent="0.2">
      <c r="L728" s="52"/>
      <c r="M728" s="53"/>
    </row>
    <row r="729" spans="12:13" x14ac:dyDescent="0.2">
      <c r="L729" s="52"/>
      <c r="M729" s="53"/>
    </row>
    <row r="730" spans="12:13" x14ac:dyDescent="0.2">
      <c r="L730" s="52"/>
      <c r="M730" s="53"/>
    </row>
    <row r="731" spans="12:13" x14ac:dyDescent="0.2">
      <c r="L731" s="52"/>
      <c r="M731" s="53"/>
    </row>
    <row r="732" spans="12:13" x14ac:dyDescent="0.2">
      <c r="L732" s="52"/>
      <c r="M732" s="53"/>
    </row>
    <row r="733" spans="12:13" x14ac:dyDescent="0.2">
      <c r="L733" s="52"/>
      <c r="M733" s="53"/>
    </row>
    <row r="734" spans="12:13" x14ac:dyDescent="0.2">
      <c r="L734" s="52"/>
      <c r="M734" s="53"/>
    </row>
    <row r="735" spans="12:13" x14ac:dyDescent="0.2">
      <c r="L735" s="52"/>
      <c r="M735" s="53"/>
    </row>
    <row r="736" spans="12:13" x14ac:dyDescent="0.2">
      <c r="L736" s="52"/>
      <c r="M736" s="53"/>
    </row>
    <row r="737" spans="12:13" x14ac:dyDescent="0.2">
      <c r="L737" s="52"/>
      <c r="M737" s="53"/>
    </row>
    <row r="738" spans="12:13" x14ac:dyDescent="0.2">
      <c r="L738" s="52"/>
      <c r="M738" s="53"/>
    </row>
    <row r="739" spans="12:13" x14ac:dyDescent="0.2">
      <c r="L739" s="52"/>
      <c r="M739" s="53"/>
    </row>
    <row r="740" spans="12:13" x14ac:dyDescent="0.2">
      <c r="L740" s="52"/>
      <c r="M740" s="53"/>
    </row>
    <row r="741" spans="12:13" x14ac:dyDescent="0.2">
      <c r="L741" s="52"/>
      <c r="M741" s="53"/>
    </row>
    <row r="742" spans="12:13" x14ac:dyDescent="0.2">
      <c r="L742" s="52"/>
      <c r="M742" s="53"/>
    </row>
    <row r="743" spans="12:13" x14ac:dyDescent="0.2">
      <c r="L743" s="52"/>
      <c r="M743" s="53"/>
    </row>
    <row r="744" spans="12:13" x14ac:dyDescent="0.2">
      <c r="L744" s="52"/>
      <c r="M744" s="53"/>
    </row>
    <row r="745" spans="12:13" x14ac:dyDescent="0.2">
      <c r="L745" s="52"/>
      <c r="M745" s="53"/>
    </row>
    <row r="746" spans="12:13" x14ac:dyDescent="0.2">
      <c r="L746" s="52"/>
      <c r="M746" s="53"/>
    </row>
    <row r="747" spans="12:13" x14ac:dyDescent="0.2">
      <c r="L747" s="52"/>
      <c r="M747" s="53"/>
    </row>
    <row r="748" spans="12:13" x14ac:dyDescent="0.2">
      <c r="L748" s="52"/>
      <c r="M748" s="53"/>
    </row>
    <row r="749" spans="12:13" x14ac:dyDescent="0.2">
      <c r="L749" s="52"/>
      <c r="M749" s="53"/>
    </row>
    <row r="750" spans="12:13" x14ac:dyDescent="0.2">
      <c r="L750" s="52"/>
      <c r="M750" s="53"/>
    </row>
    <row r="751" spans="12:13" x14ac:dyDescent="0.2">
      <c r="L751" s="52"/>
      <c r="M751" s="53"/>
    </row>
    <row r="752" spans="12:13" x14ac:dyDescent="0.2">
      <c r="L752" s="52"/>
      <c r="M752" s="53"/>
    </row>
    <row r="753" spans="12:13" x14ac:dyDescent="0.2">
      <c r="L753" s="52"/>
      <c r="M753" s="53"/>
    </row>
    <row r="754" spans="12:13" x14ac:dyDescent="0.2">
      <c r="L754" s="52"/>
      <c r="M754" s="53"/>
    </row>
    <row r="755" spans="12:13" x14ac:dyDescent="0.2">
      <c r="L755" s="52"/>
      <c r="M755" s="53"/>
    </row>
    <row r="756" spans="12:13" x14ac:dyDescent="0.2">
      <c r="L756" s="52"/>
      <c r="M756" s="53"/>
    </row>
    <row r="757" spans="12:13" x14ac:dyDescent="0.2">
      <c r="L757" s="52"/>
      <c r="M757" s="53"/>
    </row>
    <row r="758" spans="12:13" x14ac:dyDescent="0.2">
      <c r="L758" s="52"/>
      <c r="M758" s="53"/>
    </row>
    <row r="759" spans="12:13" x14ac:dyDescent="0.2">
      <c r="L759" s="52"/>
      <c r="M759" s="53"/>
    </row>
    <row r="760" spans="12:13" x14ac:dyDescent="0.2">
      <c r="L760" s="52"/>
      <c r="M760" s="53"/>
    </row>
    <row r="761" spans="12:13" x14ac:dyDescent="0.2">
      <c r="L761" s="52"/>
      <c r="M761" s="53"/>
    </row>
    <row r="762" spans="12:13" x14ac:dyDescent="0.2">
      <c r="L762" s="52"/>
      <c r="M762" s="53"/>
    </row>
    <row r="763" spans="12:13" x14ac:dyDescent="0.2">
      <c r="L763" s="52"/>
      <c r="M763" s="53"/>
    </row>
    <row r="764" spans="12:13" x14ac:dyDescent="0.2">
      <c r="L764" s="52"/>
      <c r="M764" s="53"/>
    </row>
    <row r="765" spans="12:13" x14ac:dyDescent="0.2">
      <c r="L765" s="52"/>
      <c r="M765" s="53"/>
    </row>
    <row r="766" spans="12:13" x14ac:dyDescent="0.2">
      <c r="L766" s="52"/>
      <c r="M766" s="53"/>
    </row>
    <row r="767" spans="12:13" x14ac:dyDescent="0.2">
      <c r="L767" s="52"/>
      <c r="M767" s="53"/>
    </row>
    <row r="768" spans="12:13" x14ac:dyDescent="0.2">
      <c r="L768" s="52"/>
      <c r="M768" s="53"/>
    </row>
    <row r="769" spans="12:13" x14ac:dyDescent="0.2">
      <c r="L769" s="52"/>
      <c r="M769" s="53"/>
    </row>
    <row r="770" spans="12:13" x14ac:dyDescent="0.2">
      <c r="L770" s="52"/>
      <c r="M770" s="53"/>
    </row>
    <row r="771" spans="12:13" x14ac:dyDescent="0.2">
      <c r="L771" s="52"/>
      <c r="M771" s="53"/>
    </row>
    <row r="772" spans="12:13" x14ac:dyDescent="0.2">
      <c r="L772" s="52"/>
      <c r="M772" s="53"/>
    </row>
    <row r="773" spans="12:13" x14ac:dyDescent="0.2">
      <c r="L773" s="52"/>
      <c r="M773" s="53"/>
    </row>
    <row r="774" spans="12:13" x14ac:dyDescent="0.2">
      <c r="L774" s="52"/>
      <c r="M774" s="53"/>
    </row>
    <row r="775" spans="12:13" x14ac:dyDescent="0.2">
      <c r="L775" s="52"/>
      <c r="M775" s="53"/>
    </row>
    <row r="776" spans="12:13" x14ac:dyDescent="0.2">
      <c r="L776" s="52"/>
      <c r="M776" s="53"/>
    </row>
    <row r="777" spans="12:13" x14ac:dyDescent="0.2">
      <c r="L777" s="52"/>
      <c r="M777" s="53"/>
    </row>
    <row r="778" spans="12:13" x14ac:dyDescent="0.2">
      <c r="L778" s="52"/>
      <c r="M778" s="53"/>
    </row>
    <row r="779" spans="12:13" x14ac:dyDescent="0.2">
      <c r="L779" s="52"/>
      <c r="M779" s="53"/>
    </row>
    <row r="780" spans="12:13" x14ac:dyDescent="0.2">
      <c r="L780" s="52"/>
      <c r="M780" s="53"/>
    </row>
    <row r="781" spans="12:13" x14ac:dyDescent="0.2">
      <c r="L781" s="52"/>
      <c r="M781" s="53"/>
    </row>
    <row r="782" spans="12:13" x14ac:dyDescent="0.2">
      <c r="L782" s="52"/>
      <c r="M782" s="53"/>
    </row>
    <row r="783" spans="12:13" x14ac:dyDescent="0.2">
      <c r="L783" s="52"/>
      <c r="M783" s="53"/>
    </row>
    <row r="784" spans="12:13" x14ac:dyDescent="0.2">
      <c r="L784" s="52"/>
      <c r="M784" s="53"/>
    </row>
    <row r="785" spans="12:13" x14ac:dyDescent="0.2">
      <c r="L785" s="52"/>
      <c r="M785" s="53"/>
    </row>
    <row r="786" spans="12:13" x14ac:dyDescent="0.2">
      <c r="L786" s="52"/>
      <c r="M786" s="53"/>
    </row>
    <row r="787" spans="12:13" x14ac:dyDescent="0.2">
      <c r="L787" s="52"/>
      <c r="M787" s="53"/>
    </row>
    <row r="788" spans="12:13" x14ac:dyDescent="0.2">
      <c r="L788" s="52"/>
      <c r="M788" s="53"/>
    </row>
    <row r="789" spans="12:13" x14ac:dyDescent="0.2">
      <c r="L789" s="52"/>
      <c r="M789" s="53"/>
    </row>
    <row r="790" spans="12:13" x14ac:dyDescent="0.2">
      <c r="L790" s="52"/>
      <c r="M790" s="53"/>
    </row>
    <row r="791" spans="12:13" x14ac:dyDescent="0.2">
      <c r="L791" s="52"/>
      <c r="M791" s="53"/>
    </row>
    <row r="792" spans="12:13" x14ac:dyDescent="0.2">
      <c r="L792" s="52"/>
      <c r="M792" s="53"/>
    </row>
    <row r="793" spans="12:13" x14ac:dyDescent="0.2">
      <c r="L793" s="52"/>
      <c r="M793" s="53"/>
    </row>
    <row r="794" spans="12:13" x14ac:dyDescent="0.2">
      <c r="L794" s="52"/>
      <c r="M794" s="53"/>
    </row>
    <row r="795" spans="12:13" x14ac:dyDescent="0.2">
      <c r="L795" s="52"/>
      <c r="M795" s="53"/>
    </row>
    <row r="796" spans="12:13" x14ac:dyDescent="0.2">
      <c r="L796" s="52"/>
      <c r="M796" s="53"/>
    </row>
    <row r="797" spans="12:13" x14ac:dyDescent="0.2">
      <c r="L797" s="52"/>
      <c r="M797" s="53"/>
    </row>
    <row r="798" spans="12:13" x14ac:dyDescent="0.2">
      <c r="L798" s="52"/>
      <c r="M798" s="53"/>
    </row>
    <row r="799" spans="12:13" x14ac:dyDescent="0.2">
      <c r="L799" s="52"/>
      <c r="M799" s="53"/>
    </row>
    <row r="800" spans="12:13" x14ac:dyDescent="0.2">
      <c r="L800" s="52"/>
      <c r="M800" s="53"/>
    </row>
    <row r="801" spans="12:13" x14ac:dyDescent="0.2">
      <c r="L801" s="52"/>
      <c r="M801" s="53"/>
    </row>
    <row r="802" spans="12:13" x14ac:dyDescent="0.2">
      <c r="L802" s="52"/>
      <c r="M802" s="53"/>
    </row>
    <row r="803" spans="12:13" x14ac:dyDescent="0.2">
      <c r="L803" s="52"/>
      <c r="M803" s="53"/>
    </row>
    <row r="804" spans="12:13" x14ac:dyDescent="0.2">
      <c r="L804" s="52"/>
      <c r="M804" s="53"/>
    </row>
    <row r="805" spans="12:13" x14ac:dyDescent="0.2">
      <c r="L805" s="52"/>
      <c r="M805" s="53"/>
    </row>
    <row r="806" spans="12:13" x14ac:dyDescent="0.2">
      <c r="L806" s="52"/>
      <c r="M806" s="53"/>
    </row>
    <row r="807" spans="12:13" x14ac:dyDescent="0.2">
      <c r="L807" s="52"/>
      <c r="M807" s="53"/>
    </row>
    <row r="808" spans="12:13" x14ac:dyDescent="0.2">
      <c r="L808" s="52"/>
      <c r="M808" s="53"/>
    </row>
    <row r="809" spans="12:13" x14ac:dyDescent="0.2">
      <c r="L809" s="52"/>
      <c r="M809" s="53"/>
    </row>
    <row r="810" spans="12:13" x14ac:dyDescent="0.2">
      <c r="L810" s="52"/>
      <c r="M810" s="53"/>
    </row>
    <row r="811" spans="12:13" x14ac:dyDescent="0.2">
      <c r="L811" s="52"/>
      <c r="M811" s="53"/>
    </row>
    <row r="812" spans="12:13" x14ac:dyDescent="0.2">
      <c r="L812" s="52"/>
      <c r="M812" s="53"/>
    </row>
    <row r="813" spans="12:13" x14ac:dyDescent="0.2">
      <c r="L813" s="52"/>
      <c r="M813" s="53"/>
    </row>
    <row r="814" spans="12:13" x14ac:dyDescent="0.2">
      <c r="L814" s="52"/>
      <c r="M814" s="53"/>
    </row>
    <row r="815" spans="12:13" x14ac:dyDescent="0.2">
      <c r="L815" s="52"/>
      <c r="M815" s="53"/>
    </row>
    <row r="816" spans="12:13" x14ac:dyDescent="0.2">
      <c r="L816" s="52"/>
      <c r="M816" s="53"/>
    </row>
    <row r="817" spans="12:13" x14ac:dyDescent="0.2">
      <c r="L817" s="52"/>
      <c r="M817" s="53"/>
    </row>
    <row r="818" spans="12:13" x14ac:dyDescent="0.2">
      <c r="L818" s="52"/>
      <c r="M818" s="53"/>
    </row>
    <row r="819" spans="12:13" x14ac:dyDescent="0.2">
      <c r="L819" s="52"/>
      <c r="M819" s="53"/>
    </row>
    <row r="820" spans="12:13" x14ac:dyDescent="0.2">
      <c r="L820" s="52"/>
      <c r="M820" s="53"/>
    </row>
    <row r="821" spans="12:13" x14ac:dyDescent="0.2">
      <c r="L821" s="52"/>
      <c r="M821" s="53"/>
    </row>
    <row r="822" spans="12:13" x14ac:dyDescent="0.2">
      <c r="L822" s="52"/>
      <c r="M822" s="53"/>
    </row>
    <row r="823" spans="12:13" x14ac:dyDescent="0.2">
      <c r="L823" s="52"/>
      <c r="M823" s="53"/>
    </row>
    <row r="824" spans="12:13" x14ac:dyDescent="0.2">
      <c r="L824" s="52"/>
      <c r="M824" s="53"/>
    </row>
    <row r="825" spans="12:13" x14ac:dyDescent="0.2">
      <c r="L825" s="52"/>
      <c r="M825" s="53"/>
    </row>
    <row r="826" spans="12:13" x14ac:dyDescent="0.2">
      <c r="L826" s="52"/>
      <c r="M826" s="53"/>
    </row>
    <row r="827" spans="12:13" x14ac:dyDescent="0.2">
      <c r="L827" s="52"/>
      <c r="M827" s="53"/>
    </row>
    <row r="828" spans="12:13" x14ac:dyDescent="0.2">
      <c r="L828" s="52"/>
      <c r="M828" s="53"/>
    </row>
    <row r="829" spans="12:13" x14ac:dyDescent="0.2">
      <c r="L829" s="52"/>
      <c r="M829" s="53"/>
    </row>
    <row r="830" spans="12:13" x14ac:dyDescent="0.2">
      <c r="L830" s="52"/>
      <c r="M830" s="53"/>
    </row>
    <row r="831" spans="12:13" x14ac:dyDescent="0.2">
      <c r="L831" s="52"/>
      <c r="M831" s="53"/>
    </row>
    <row r="832" spans="12:13" x14ac:dyDescent="0.2">
      <c r="L832" s="52"/>
      <c r="M832" s="53"/>
    </row>
    <row r="833" spans="12:13" x14ac:dyDescent="0.2">
      <c r="L833" s="52"/>
      <c r="M833" s="53"/>
    </row>
    <row r="834" spans="12:13" x14ac:dyDescent="0.2">
      <c r="L834" s="52"/>
      <c r="M834" s="53"/>
    </row>
    <row r="835" spans="12:13" x14ac:dyDescent="0.2">
      <c r="L835" s="52"/>
      <c r="M835" s="53"/>
    </row>
    <row r="836" spans="12:13" x14ac:dyDescent="0.2">
      <c r="L836" s="52"/>
      <c r="M836" s="53"/>
    </row>
    <row r="837" spans="12:13" x14ac:dyDescent="0.2">
      <c r="L837" s="52"/>
      <c r="M837" s="53"/>
    </row>
    <row r="838" spans="12:13" x14ac:dyDescent="0.2">
      <c r="L838" s="52"/>
      <c r="M838" s="53"/>
    </row>
    <row r="839" spans="12:13" x14ac:dyDescent="0.2">
      <c r="L839" s="52"/>
      <c r="M839" s="53"/>
    </row>
    <row r="840" spans="12:13" x14ac:dyDescent="0.2">
      <c r="L840" s="52"/>
      <c r="M840" s="53"/>
    </row>
    <row r="841" spans="12:13" x14ac:dyDescent="0.2">
      <c r="L841" s="52"/>
      <c r="M841" s="53"/>
    </row>
    <row r="842" spans="12:13" x14ac:dyDescent="0.2">
      <c r="L842" s="52"/>
      <c r="M842" s="53"/>
    </row>
    <row r="843" spans="12:13" x14ac:dyDescent="0.2">
      <c r="L843" s="52"/>
      <c r="M843" s="53"/>
    </row>
    <row r="844" spans="12:13" x14ac:dyDescent="0.2">
      <c r="L844" s="52"/>
      <c r="M844" s="53"/>
    </row>
    <row r="845" spans="12:13" x14ac:dyDescent="0.2">
      <c r="L845" s="52"/>
      <c r="M845" s="53"/>
    </row>
    <row r="846" spans="12:13" x14ac:dyDescent="0.2">
      <c r="L846" s="52"/>
      <c r="M846" s="53"/>
    </row>
    <row r="847" spans="12:13" x14ac:dyDescent="0.2">
      <c r="L847" s="52"/>
      <c r="M847" s="53"/>
    </row>
    <row r="848" spans="12:13" x14ac:dyDescent="0.2">
      <c r="L848" s="52"/>
      <c r="M848" s="53"/>
    </row>
    <row r="849" spans="12:13" x14ac:dyDescent="0.2">
      <c r="L849" s="52"/>
      <c r="M849" s="53"/>
    </row>
    <row r="850" spans="12:13" x14ac:dyDescent="0.2">
      <c r="L850" s="52"/>
      <c r="M850" s="53"/>
    </row>
    <row r="851" spans="12:13" x14ac:dyDescent="0.2">
      <c r="L851" s="52"/>
      <c r="M851" s="53"/>
    </row>
    <row r="852" spans="12:13" x14ac:dyDescent="0.2">
      <c r="L852" s="52"/>
      <c r="M852" s="53"/>
    </row>
    <row r="853" spans="12:13" x14ac:dyDescent="0.2">
      <c r="L853" s="52"/>
      <c r="M853" s="53"/>
    </row>
    <row r="854" spans="12:13" x14ac:dyDescent="0.2">
      <c r="L854" s="52"/>
      <c r="M854" s="53"/>
    </row>
    <row r="855" spans="12:13" x14ac:dyDescent="0.2">
      <c r="L855" s="52"/>
      <c r="M855" s="53"/>
    </row>
    <row r="856" spans="12:13" x14ac:dyDescent="0.2">
      <c r="L856" s="52"/>
      <c r="M856" s="53"/>
    </row>
    <row r="857" spans="12:13" x14ac:dyDescent="0.2">
      <c r="L857" s="52"/>
      <c r="M857" s="53"/>
    </row>
    <row r="858" spans="12:13" x14ac:dyDescent="0.2">
      <c r="L858" s="52"/>
      <c r="M858" s="53"/>
    </row>
    <row r="859" spans="12:13" x14ac:dyDescent="0.2">
      <c r="L859" s="52"/>
      <c r="M859" s="53"/>
    </row>
    <row r="860" spans="12:13" x14ac:dyDescent="0.2">
      <c r="L860" s="52"/>
      <c r="M860" s="53"/>
    </row>
    <row r="861" spans="12:13" x14ac:dyDescent="0.2">
      <c r="L861" s="52"/>
      <c r="M861" s="53"/>
    </row>
    <row r="862" spans="12:13" x14ac:dyDescent="0.2">
      <c r="L862" s="52"/>
      <c r="M862" s="53"/>
    </row>
    <row r="863" spans="12:13" x14ac:dyDescent="0.2">
      <c r="L863" s="52"/>
      <c r="M863" s="53"/>
    </row>
    <row r="864" spans="12:13" x14ac:dyDescent="0.2">
      <c r="L864" s="52"/>
      <c r="M864" s="53"/>
    </row>
    <row r="865" spans="12:13" x14ac:dyDescent="0.2">
      <c r="L865" s="52"/>
      <c r="M865" s="53"/>
    </row>
    <row r="866" spans="12:13" x14ac:dyDescent="0.2">
      <c r="L866" s="52"/>
      <c r="M866" s="53"/>
    </row>
    <row r="867" spans="12:13" x14ac:dyDescent="0.2">
      <c r="L867" s="52"/>
      <c r="M867" s="53"/>
    </row>
    <row r="868" spans="12:13" x14ac:dyDescent="0.2">
      <c r="L868" s="52"/>
      <c r="M868" s="53"/>
    </row>
    <row r="869" spans="12:13" x14ac:dyDescent="0.2">
      <c r="L869" s="52"/>
      <c r="M869" s="53"/>
    </row>
    <row r="870" spans="12:13" x14ac:dyDescent="0.2">
      <c r="L870" s="52"/>
      <c r="M870" s="53"/>
    </row>
    <row r="871" spans="12:13" x14ac:dyDescent="0.2">
      <c r="L871" s="52"/>
      <c r="M871" s="53"/>
    </row>
    <row r="872" spans="12:13" x14ac:dyDescent="0.2">
      <c r="L872" s="52"/>
      <c r="M872" s="53"/>
    </row>
    <row r="873" spans="12:13" x14ac:dyDescent="0.2">
      <c r="L873" s="52"/>
      <c r="M873" s="53"/>
    </row>
    <row r="874" spans="12:13" x14ac:dyDescent="0.2">
      <c r="L874" s="52"/>
      <c r="M874" s="53"/>
    </row>
    <row r="875" spans="12:13" x14ac:dyDescent="0.2">
      <c r="L875" s="52"/>
      <c r="M875" s="53"/>
    </row>
    <row r="876" spans="12:13" x14ac:dyDescent="0.2">
      <c r="L876" s="52"/>
      <c r="M876" s="53"/>
    </row>
    <row r="877" spans="12:13" x14ac:dyDescent="0.2">
      <c r="L877" s="52"/>
      <c r="M877" s="53"/>
    </row>
    <row r="878" spans="12:13" x14ac:dyDescent="0.2">
      <c r="L878" s="52"/>
      <c r="M878" s="53"/>
    </row>
    <row r="879" spans="12:13" x14ac:dyDescent="0.2">
      <c r="L879" s="52"/>
      <c r="M879" s="53"/>
    </row>
    <row r="880" spans="12:13" x14ac:dyDescent="0.2">
      <c r="L880" s="52"/>
      <c r="M880" s="53"/>
    </row>
    <row r="881" spans="12:13" x14ac:dyDescent="0.2">
      <c r="L881" s="52"/>
      <c r="M881" s="53"/>
    </row>
    <row r="882" spans="12:13" x14ac:dyDescent="0.2">
      <c r="L882" s="52"/>
      <c r="M882" s="53"/>
    </row>
    <row r="883" spans="12:13" x14ac:dyDescent="0.2">
      <c r="L883" s="52"/>
      <c r="M883" s="53"/>
    </row>
    <row r="884" spans="12:13" x14ac:dyDescent="0.2">
      <c r="L884" s="52"/>
      <c r="M884" s="53"/>
    </row>
    <row r="885" spans="12:13" x14ac:dyDescent="0.2">
      <c r="L885" s="52"/>
      <c r="M885" s="53"/>
    </row>
    <row r="886" spans="12:13" x14ac:dyDescent="0.2">
      <c r="L886" s="52"/>
      <c r="M886" s="53"/>
    </row>
    <row r="887" spans="12:13" x14ac:dyDescent="0.2">
      <c r="L887" s="52"/>
      <c r="M887" s="53"/>
    </row>
    <row r="888" spans="12:13" x14ac:dyDescent="0.2">
      <c r="L888" s="52"/>
      <c r="M888" s="53"/>
    </row>
    <row r="889" spans="12:13" x14ac:dyDescent="0.2">
      <c r="L889" s="52"/>
      <c r="M889" s="53"/>
    </row>
    <row r="890" spans="12:13" x14ac:dyDescent="0.2">
      <c r="L890" s="52"/>
      <c r="M890" s="53"/>
    </row>
    <row r="891" spans="12:13" x14ac:dyDescent="0.2">
      <c r="L891" s="52"/>
      <c r="M891" s="53"/>
    </row>
    <row r="892" spans="12:13" x14ac:dyDescent="0.2">
      <c r="L892" s="52"/>
      <c r="M892" s="53"/>
    </row>
    <row r="893" spans="12:13" x14ac:dyDescent="0.2">
      <c r="L893" s="52"/>
      <c r="M893" s="53"/>
    </row>
    <row r="894" spans="12:13" x14ac:dyDescent="0.2">
      <c r="L894" s="52"/>
      <c r="M894" s="53"/>
    </row>
    <row r="895" spans="12:13" x14ac:dyDescent="0.2">
      <c r="L895" s="52"/>
      <c r="M895" s="53"/>
    </row>
    <row r="896" spans="12:13" x14ac:dyDescent="0.2">
      <c r="L896" s="52"/>
      <c r="M896" s="53"/>
    </row>
    <row r="897" spans="12:13" x14ac:dyDescent="0.2">
      <c r="L897" s="52"/>
      <c r="M897" s="53"/>
    </row>
    <row r="898" spans="12:13" x14ac:dyDescent="0.2">
      <c r="L898" s="52"/>
      <c r="M898" s="53"/>
    </row>
    <row r="899" spans="12:13" x14ac:dyDescent="0.2">
      <c r="L899" s="52"/>
      <c r="M899" s="53"/>
    </row>
    <row r="900" spans="12:13" x14ac:dyDescent="0.2">
      <c r="L900" s="52"/>
      <c r="M900" s="53"/>
    </row>
    <row r="901" spans="12:13" x14ac:dyDescent="0.2">
      <c r="L901" s="52"/>
      <c r="M901" s="53"/>
    </row>
    <row r="902" spans="12:13" x14ac:dyDescent="0.2">
      <c r="L902" s="52"/>
      <c r="M902" s="53"/>
    </row>
    <row r="903" spans="12:13" x14ac:dyDescent="0.2">
      <c r="L903" s="52"/>
      <c r="M903" s="53"/>
    </row>
    <row r="904" spans="12:13" x14ac:dyDescent="0.2">
      <c r="L904" s="52"/>
      <c r="M904" s="53"/>
    </row>
    <row r="905" spans="12:13" x14ac:dyDescent="0.2">
      <c r="L905" s="52"/>
      <c r="M905" s="53"/>
    </row>
    <row r="906" spans="12:13" x14ac:dyDescent="0.2">
      <c r="L906" s="52"/>
      <c r="M906" s="53"/>
    </row>
    <row r="907" spans="12:13" x14ac:dyDescent="0.2">
      <c r="L907" s="52"/>
      <c r="M907" s="53"/>
    </row>
    <row r="908" spans="12:13" x14ac:dyDescent="0.2">
      <c r="L908" s="52"/>
      <c r="M908" s="53"/>
    </row>
    <row r="909" spans="12:13" x14ac:dyDescent="0.2">
      <c r="L909" s="52"/>
      <c r="M909" s="53"/>
    </row>
    <row r="910" spans="12:13" x14ac:dyDescent="0.2">
      <c r="L910" s="52"/>
      <c r="M910" s="53"/>
    </row>
    <row r="911" spans="12:13" x14ac:dyDescent="0.2">
      <c r="L911" s="52"/>
      <c r="M911" s="53"/>
    </row>
    <row r="912" spans="12:13" x14ac:dyDescent="0.2">
      <c r="L912" s="52"/>
      <c r="M912" s="53"/>
    </row>
    <row r="913" spans="12:13" x14ac:dyDescent="0.2">
      <c r="L913" s="52"/>
      <c r="M913" s="53"/>
    </row>
    <row r="914" spans="12:13" x14ac:dyDescent="0.2">
      <c r="L914" s="52"/>
      <c r="M914" s="53"/>
    </row>
    <row r="915" spans="12:13" x14ac:dyDescent="0.2">
      <c r="L915" s="52"/>
      <c r="M915" s="53"/>
    </row>
    <row r="916" spans="12:13" x14ac:dyDescent="0.2">
      <c r="L916" s="52"/>
      <c r="M916" s="53"/>
    </row>
    <row r="917" spans="12:13" x14ac:dyDescent="0.2">
      <c r="L917" s="52"/>
      <c r="M917" s="53"/>
    </row>
    <row r="918" spans="12:13" x14ac:dyDescent="0.2">
      <c r="L918" s="52"/>
      <c r="M918" s="53"/>
    </row>
    <row r="919" spans="12:13" x14ac:dyDescent="0.2">
      <c r="L919" s="52"/>
      <c r="M919" s="53"/>
    </row>
    <row r="920" spans="12:13" x14ac:dyDescent="0.2">
      <c r="L920" s="52"/>
      <c r="M920" s="53"/>
    </row>
    <row r="921" spans="12:13" x14ac:dyDescent="0.2">
      <c r="L921" s="52"/>
      <c r="M921" s="53"/>
    </row>
    <row r="922" spans="12:13" x14ac:dyDescent="0.2">
      <c r="L922" s="52"/>
      <c r="M922" s="53"/>
    </row>
    <row r="923" spans="12:13" x14ac:dyDescent="0.2">
      <c r="L923" s="52"/>
      <c r="M923" s="53"/>
    </row>
    <row r="924" spans="12:13" x14ac:dyDescent="0.2">
      <c r="L924" s="52"/>
      <c r="M924" s="53"/>
    </row>
    <row r="925" spans="12:13" x14ac:dyDescent="0.2">
      <c r="L925" s="52"/>
      <c r="M925" s="53"/>
    </row>
    <row r="926" spans="12:13" x14ac:dyDescent="0.2">
      <c r="L926" s="52"/>
      <c r="M926" s="53"/>
    </row>
    <row r="927" spans="12:13" x14ac:dyDescent="0.2">
      <c r="L927" s="52"/>
      <c r="M927" s="53"/>
    </row>
    <row r="928" spans="12:13" x14ac:dyDescent="0.2">
      <c r="L928" s="52"/>
      <c r="M928" s="53"/>
    </row>
    <row r="929" spans="12:13" x14ac:dyDescent="0.2">
      <c r="L929" s="52"/>
      <c r="M929" s="53"/>
    </row>
    <row r="930" spans="12:13" x14ac:dyDescent="0.2">
      <c r="L930" s="52"/>
      <c r="M930" s="53"/>
    </row>
    <row r="931" spans="12:13" x14ac:dyDescent="0.2">
      <c r="L931" s="52"/>
      <c r="M931" s="53"/>
    </row>
    <row r="932" spans="12:13" x14ac:dyDescent="0.2">
      <c r="L932" s="52"/>
      <c r="M932" s="53"/>
    </row>
    <row r="933" spans="12:13" x14ac:dyDescent="0.2">
      <c r="L933" s="52"/>
      <c r="M933" s="53"/>
    </row>
    <row r="934" spans="12:13" x14ac:dyDescent="0.2">
      <c r="L934" s="52"/>
      <c r="M934" s="53"/>
    </row>
    <row r="935" spans="12:13" x14ac:dyDescent="0.2">
      <c r="L935" s="52"/>
      <c r="M935" s="53"/>
    </row>
    <row r="936" spans="12:13" x14ac:dyDescent="0.2">
      <c r="L936" s="52"/>
      <c r="M936" s="53"/>
    </row>
    <row r="937" spans="12:13" x14ac:dyDescent="0.2">
      <c r="L937" s="52"/>
      <c r="M937" s="53"/>
    </row>
    <row r="938" spans="12:13" x14ac:dyDescent="0.2">
      <c r="L938" s="52"/>
      <c r="M938" s="53"/>
    </row>
    <row r="939" spans="12:13" x14ac:dyDescent="0.2">
      <c r="L939" s="52"/>
      <c r="M939" s="53"/>
    </row>
    <row r="940" spans="12:13" x14ac:dyDescent="0.2">
      <c r="L940" s="52"/>
      <c r="M940" s="53"/>
    </row>
    <row r="941" spans="12:13" x14ac:dyDescent="0.2">
      <c r="L941" s="52"/>
      <c r="M941" s="53"/>
    </row>
    <row r="942" spans="12:13" x14ac:dyDescent="0.2">
      <c r="L942" s="52"/>
      <c r="M942" s="53"/>
    </row>
    <row r="943" spans="12:13" x14ac:dyDescent="0.2">
      <c r="L943" s="52"/>
      <c r="M943" s="53"/>
    </row>
    <row r="944" spans="12:13" x14ac:dyDescent="0.2">
      <c r="L944" s="52"/>
      <c r="M944" s="53"/>
    </row>
    <row r="945" spans="12:13" x14ac:dyDescent="0.2">
      <c r="L945" s="52"/>
      <c r="M945" s="53"/>
    </row>
    <row r="946" spans="12:13" x14ac:dyDescent="0.2">
      <c r="L946" s="52"/>
      <c r="M946" s="53"/>
    </row>
    <row r="947" spans="12:13" x14ac:dyDescent="0.2">
      <c r="L947" s="52"/>
      <c r="M947" s="53"/>
    </row>
    <row r="948" spans="12:13" x14ac:dyDescent="0.2">
      <c r="L948" s="52"/>
      <c r="M948" s="53"/>
    </row>
    <row r="949" spans="12:13" x14ac:dyDescent="0.2">
      <c r="L949" s="52"/>
      <c r="M949" s="53"/>
    </row>
    <row r="950" spans="12:13" x14ac:dyDescent="0.2">
      <c r="L950" s="52"/>
      <c r="M950" s="53"/>
    </row>
    <row r="951" spans="12:13" x14ac:dyDescent="0.2">
      <c r="L951" s="52"/>
      <c r="M951" s="53"/>
    </row>
    <row r="952" spans="12:13" x14ac:dyDescent="0.2">
      <c r="L952" s="52"/>
      <c r="M952" s="53"/>
    </row>
    <row r="953" spans="12:13" x14ac:dyDescent="0.2">
      <c r="L953" s="52"/>
      <c r="M953" s="53"/>
    </row>
    <row r="954" spans="12:13" x14ac:dyDescent="0.2">
      <c r="L954" s="52"/>
      <c r="M954" s="53"/>
    </row>
    <row r="955" spans="12:13" x14ac:dyDescent="0.2">
      <c r="L955" s="52"/>
      <c r="M955" s="53"/>
    </row>
    <row r="956" spans="12:13" x14ac:dyDescent="0.2">
      <c r="L956" s="52"/>
      <c r="M956" s="53"/>
    </row>
    <row r="957" spans="12:13" x14ac:dyDescent="0.2">
      <c r="L957" s="52"/>
      <c r="M957" s="53"/>
    </row>
    <row r="958" spans="12:13" x14ac:dyDescent="0.2">
      <c r="L958" s="52"/>
      <c r="M958" s="53"/>
    </row>
    <row r="959" spans="12:13" x14ac:dyDescent="0.2">
      <c r="L959" s="52"/>
      <c r="M959" s="53"/>
    </row>
    <row r="960" spans="12:13" x14ac:dyDescent="0.2">
      <c r="L960" s="52"/>
      <c r="M960" s="53"/>
    </row>
    <row r="961" spans="12:13" x14ac:dyDescent="0.2">
      <c r="L961" s="52"/>
      <c r="M961" s="53"/>
    </row>
    <row r="962" spans="12:13" x14ac:dyDescent="0.2">
      <c r="L962" s="52"/>
      <c r="M962" s="53"/>
    </row>
    <row r="963" spans="12:13" x14ac:dyDescent="0.2">
      <c r="L963" s="52"/>
      <c r="M963" s="53"/>
    </row>
    <row r="964" spans="12:13" x14ac:dyDescent="0.2">
      <c r="L964" s="52"/>
      <c r="M964" s="53"/>
    </row>
    <row r="965" spans="12:13" x14ac:dyDescent="0.2">
      <c r="L965" s="52"/>
      <c r="M965" s="53"/>
    </row>
    <row r="966" spans="12:13" x14ac:dyDescent="0.2">
      <c r="L966" s="52"/>
      <c r="M966" s="53"/>
    </row>
    <row r="967" spans="12:13" x14ac:dyDescent="0.2">
      <c r="L967" s="52"/>
      <c r="M967" s="53"/>
    </row>
    <row r="968" spans="12:13" x14ac:dyDescent="0.2">
      <c r="L968" s="52"/>
      <c r="M968" s="53"/>
    </row>
    <row r="969" spans="12:13" x14ac:dyDescent="0.2">
      <c r="L969" s="52"/>
      <c r="M969" s="53"/>
    </row>
    <row r="970" spans="12:13" x14ac:dyDescent="0.2">
      <c r="L970" s="52"/>
      <c r="M970" s="53"/>
    </row>
    <row r="971" spans="12:13" x14ac:dyDescent="0.2">
      <c r="L971" s="52"/>
      <c r="M971" s="53"/>
    </row>
    <row r="972" spans="12:13" x14ac:dyDescent="0.2">
      <c r="L972" s="52"/>
      <c r="M972" s="53"/>
    </row>
    <row r="973" spans="12:13" x14ac:dyDescent="0.2">
      <c r="L973" s="52"/>
      <c r="M973" s="53"/>
    </row>
    <row r="974" spans="12:13" x14ac:dyDescent="0.2">
      <c r="L974" s="52"/>
      <c r="M974" s="53"/>
    </row>
    <row r="975" spans="12:13" x14ac:dyDescent="0.2">
      <c r="L975" s="52"/>
      <c r="M975" s="53"/>
    </row>
    <row r="976" spans="12:13" x14ac:dyDescent="0.2">
      <c r="L976" s="52"/>
      <c r="M976" s="53"/>
    </row>
    <row r="977" spans="12:13" x14ac:dyDescent="0.2">
      <c r="L977" s="52"/>
      <c r="M977" s="53"/>
    </row>
    <row r="978" spans="12:13" x14ac:dyDescent="0.2">
      <c r="L978" s="52"/>
      <c r="M978" s="53"/>
    </row>
    <row r="979" spans="12:13" x14ac:dyDescent="0.2">
      <c r="L979" s="52"/>
      <c r="M979" s="53"/>
    </row>
    <row r="980" spans="12:13" x14ac:dyDescent="0.2">
      <c r="L980" s="52"/>
      <c r="M980" s="53"/>
    </row>
    <row r="981" spans="12:13" x14ac:dyDescent="0.2">
      <c r="L981" s="52"/>
      <c r="M981" s="53"/>
    </row>
    <row r="982" spans="12:13" x14ac:dyDescent="0.2">
      <c r="L982" s="52"/>
      <c r="M982" s="53"/>
    </row>
    <row r="983" spans="12:13" x14ac:dyDescent="0.2">
      <c r="L983" s="52"/>
      <c r="M983" s="53"/>
    </row>
    <row r="984" spans="12:13" x14ac:dyDescent="0.2">
      <c r="L984" s="52"/>
      <c r="M984" s="53"/>
    </row>
    <row r="985" spans="12:13" x14ac:dyDescent="0.2">
      <c r="L985" s="52"/>
      <c r="M985" s="53"/>
    </row>
    <row r="986" spans="12:13" x14ac:dyDescent="0.2">
      <c r="L986" s="52"/>
      <c r="M986" s="53"/>
    </row>
    <row r="987" spans="12:13" x14ac:dyDescent="0.2">
      <c r="L987" s="52"/>
      <c r="M987" s="53"/>
    </row>
    <row r="988" spans="12:13" x14ac:dyDescent="0.2">
      <c r="L988" s="52"/>
      <c r="M988" s="53"/>
    </row>
    <row r="989" spans="12:13" x14ac:dyDescent="0.2">
      <c r="L989" s="52"/>
      <c r="M989" s="53"/>
    </row>
    <row r="990" spans="12:13" x14ac:dyDescent="0.2">
      <c r="L990" s="52"/>
      <c r="M990" s="53"/>
    </row>
    <row r="991" spans="12:13" x14ac:dyDescent="0.2">
      <c r="L991" s="52"/>
      <c r="M991" s="53"/>
    </row>
    <row r="992" spans="12:13" x14ac:dyDescent="0.2">
      <c r="L992" s="52"/>
      <c r="M992" s="53"/>
    </row>
    <row r="993" spans="12:13" x14ac:dyDescent="0.2">
      <c r="L993" s="52"/>
      <c r="M993" s="53"/>
    </row>
    <row r="994" spans="12:13" x14ac:dyDescent="0.2">
      <c r="L994" s="52"/>
      <c r="M994" s="53"/>
    </row>
    <row r="995" spans="12:13" x14ac:dyDescent="0.2">
      <c r="L995" s="52"/>
      <c r="M995" s="53"/>
    </row>
    <row r="996" spans="12:13" x14ac:dyDescent="0.2">
      <c r="L996" s="52"/>
      <c r="M996" s="53"/>
    </row>
    <row r="997" spans="12:13" x14ac:dyDescent="0.2">
      <c r="L997" s="52"/>
      <c r="M997" s="53"/>
    </row>
    <row r="998" spans="12:13" x14ac:dyDescent="0.2">
      <c r="L998" s="52"/>
      <c r="M998" s="53"/>
    </row>
    <row r="999" spans="12:13" x14ac:dyDescent="0.2">
      <c r="L999" s="52"/>
      <c r="M999" s="53"/>
    </row>
    <row r="1000" spans="12:13" x14ac:dyDescent="0.2">
      <c r="L1000" s="52"/>
      <c r="M1000" s="53"/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B430-4C78-4EC8-9FE4-C41C55695B38}">
  <dimension ref="A1:F105"/>
  <sheetViews>
    <sheetView zoomScale="167" zoomScaleNormal="130" workbookViewId="0">
      <selection activeCell="C2" sqref="C2"/>
    </sheetView>
  </sheetViews>
  <sheetFormatPr defaultColWidth="8.85546875" defaultRowHeight="12.75" x14ac:dyDescent="0.2"/>
  <cols>
    <col min="1" max="1" width="3.7109375" style="14" customWidth="1"/>
    <col min="2" max="2" width="10.85546875" style="14" customWidth="1"/>
    <col min="3" max="3" width="9.7109375" style="14" customWidth="1"/>
    <col min="4" max="4" width="13.7109375" style="14" customWidth="1"/>
    <col min="5" max="5" width="11.42578125" style="14" customWidth="1"/>
    <col min="6" max="6" width="9.85546875" style="14" customWidth="1"/>
    <col min="7" max="7" width="13.7109375" style="14" customWidth="1"/>
    <col min="8" max="16384" width="8.85546875" style="14"/>
  </cols>
  <sheetData>
    <row r="1" spans="1:6" x14ac:dyDescent="0.2">
      <c r="A1" s="1" t="s">
        <v>13</v>
      </c>
    </row>
    <row r="3" spans="1:6" x14ac:dyDescent="0.2">
      <c r="B3" s="40"/>
      <c r="C3" s="41"/>
      <c r="D3" s="42" t="s">
        <v>2</v>
      </c>
      <c r="E3" s="40"/>
      <c r="F3" s="43"/>
    </row>
    <row r="4" spans="1:6" x14ac:dyDescent="0.2">
      <c r="B4" s="44"/>
      <c r="D4" s="45" t="s">
        <v>3</v>
      </c>
      <c r="E4" s="45" t="s">
        <v>4</v>
      </c>
      <c r="F4" s="46"/>
    </row>
    <row r="5" spans="1:6" x14ac:dyDescent="0.2">
      <c r="B5" s="18" t="s">
        <v>5</v>
      </c>
      <c r="C5" s="39" t="s">
        <v>21</v>
      </c>
      <c r="D5" s="18" t="s">
        <v>6</v>
      </c>
      <c r="E5" s="18" t="s">
        <v>2</v>
      </c>
      <c r="F5" s="47" t="s">
        <v>7</v>
      </c>
    </row>
    <row r="6" spans="1:6" x14ac:dyDescent="0.2">
      <c r="B6" s="19">
        <v>1</v>
      </c>
      <c r="C6" s="20"/>
      <c r="D6" s="21">
        <f>4*SQRT(C6)</f>
        <v>0</v>
      </c>
      <c r="E6" s="22">
        <f>SUM($D$6:D6)</f>
        <v>0</v>
      </c>
      <c r="F6" s="48">
        <f>1500*B6</f>
        <v>1500</v>
      </c>
    </row>
    <row r="7" spans="1:6" x14ac:dyDescent="0.2">
      <c r="B7" s="19">
        <f>B6+1</f>
        <v>2</v>
      </c>
      <c r="C7" s="20"/>
      <c r="D7" s="21">
        <f t="shared" ref="D7:D69" si="0">4*SQRT(C7)</f>
        <v>0</v>
      </c>
      <c r="E7" s="22">
        <f>SUM($D$6:D7)</f>
        <v>0</v>
      </c>
      <c r="F7" s="48">
        <f t="shared" ref="F7:F70" si="1">1500*B7</f>
        <v>3000</v>
      </c>
    </row>
    <row r="8" spans="1:6" x14ac:dyDescent="0.2">
      <c r="B8" s="19">
        <f t="shared" ref="B8:B71" si="2">B7+1</f>
        <v>3</v>
      </c>
      <c r="C8" s="20"/>
      <c r="D8" s="21">
        <f t="shared" si="0"/>
        <v>0</v>
      </c>
      <c r="E8" s="22">
        <f>SUM($D$6:D8)</f>
        <v>0</v>
      </c>
      <c r="F8" s="48">
        <f t="shared" si="1"/>
        <v>4500</v>
      </c>
    </row>
    <row r="9" spans="1:6" x14ac:dyDescent="0.2">
      <c r="B9" s="19">
        <f t="shared" si="2"/>
        <v>4</v>
      </c>
      <c r="C9" s="20"/>
      <c r="D9" s="21">
        <f t="shared" si="0"/>
        <v>0</v>
      </c>
      <c r="E9" s="22">
        <f>SUM($D$6:D9)</f>
        <v>0</v>
      </c>
      <c r="F9" s="48">
        <f t="shared" si="1"/>
        <v>6000</v>
      </c>
    </row>
    <row r="10" spans="1:6" x14ac:dyDescent="0.2">
      <c r="B10" s="19">
        <f t="shared" si="2"/>
        <v>5</v>
      </c>
      <c r="C10" s="20"/>
      <c r="D10" s="21">
        <f t="shared" si="0"/>
        <v>0</v>
      </c>
      <c r="E10" s="22">
        <f>SUM($D$6:D10)</f>
        <v>0</v>
      </c>
      <c r="F10" s="48">
        <f t="shared" si="1"/>
        <v>7500</v>
      </c>
    </row>
    <row r="11" spans="1:6" x14ac:dyDescent="0.2">
      <c r="B11" s="19">
        <f t="shared" si="2"/>
        <v>6</v>
      </c>
      <c r="C11" s="20"/>
      <c r="D11" s="21">
        <f t="shared" si="0"/>
        <v>0</v>
      </c>
      <c r="E11" s="22">
        <f>SUM($D$6:D11)</f>
        <v>0</v>
      </c>
      <c r="F11" s="48">
        <f t="shared" si="1"/>
        <v>9000</v>
      </c>
    </row>
    <row r="12" spans="1:6" x14ac:dyDescent="0.2">
      <c r="B12" s="19">
        <f t="shared" si="2"/>
        <v>7</v>
      </c>
      <c r="C12" s="20"/>
      <c r="D12" s="21">
        <f t="shared" si="0"/>
        <v>0</v>
      </c>
      <c r="E12" s="22">
        <f>SUM($D$6:D12)</f>
        <v>0</v>
      </c>
      <c r="F12" s="48">
        <f t="shared" si="1"/>
        <v>10500</v>
      </c>
    </row>
    <row r="13" spans="1:6" x14ac:dyDescent="0.2">
      <c r="B13" s="19">
        <f t="shared" si="2"/>
        <v>8</v>
      </c>
      <c r="C13" s="20"/>
      <c r="D13" s="21">
        <f t="shared" si="0"/>
        <v>0</v>
      </c>
      <c r="E13" s="22">
        <f>SUM($D$6:D13)</f>
        <v>0</v>
      </c>
      <c r="F13" s="48">
        <f t="shared" si="1"/>
        <v>12000</v>
      </c>
    </row>
    <row r="14" spans="1:6" x14ac:dyDescent="0.2">
      <c r="B14" s="19">
        <f t="shared" si="2"/>
        <v>9</v>
      </c>
      <c r="C14" s="20"/>
      <c r="D14" s="21">
        <f t="shared" si="0"/>
        <v>0</v>
      </c>
      <c r="E14" s="22">
        <f>SUM($D$6:D14)</f>
        <v>0</v>
      </c>
      <c r="F14" s="48">
        <f t="shared" si="1"/>
        <v>13500</v>
      </c>
    </row>
    <row r="15" spans="1:6" x14ac:dyDescent="0.2">
      <c r="B15" s="19">
        <f t="shared" si="2"/>
        <v>10</v>
      </c>
      <c r="C15" s="20"/>
      <c r="D15" s="21">
        <f t="shared" si="0"/>
        <v>0</v>
      </c>
      <c r="E15" s="22">
        <f>SUM($D$6:D15)</f>
        <v>0</v>
      </c>
      <c r="F15" s="48">
        <f t="shared" si="1"/>
        <v>15000</v>
      </c>
    </row>
    <row r="16" spans="1:6" ht="13.5" customHeight="1" x14ac:dyDescent="0.2">
      <c r="B16" s="19">
        <f t="shared" si="2"/>
        <v>11</v>
      </c>
      <c r="C16" s="20"/>
      <c r="D16" s="21">
        <f t="shared" si="0"/>
        <v>0</v>
      </c>
      <c r="E16" s="22">
        <f>SUM($D$6:D16)</f>
        <v>0</v>
      </c>
      <c r="F16" s="48">
        <f t="shared" si="1"/>
        <v>16500</v>
      </c>
    </row>
    <row r="17" spans="2:6" x14ac:dyDescent="0.2">
      <c r="B17" s="19">
        <f t="shared" si="2"/>
        <v>12</v>
      </c>
      <c r="C17" s="20"/>
      <c r="D17" s="21">
        <f t="shared" si="0"/>
        <v>0</v>
      </c>
      <c r="E17" s="22">
        <f>SUM($D$6:D17)</f>
        <v>0</v>
      </c>
      <c r="F17" s="48">
        <f t="shared" si="1"/>
        <v>18000</v>
      </c>
    </row>
    <row r="18" spans="2:6" x14ac:dyDescent="0.2">
      <c r="B18" s="19">
        <f t="shared" si="2"/>
        <v>13</v>
      </c>
      <c r="C18" s="20"/>
      <c r="D18" s="21">
        <f t="shared" si="0"/>
        <v>0</v>
      </c>
      <c r="E18" s="22">
        <f>SUM($D$6:D18)</f>
        <v>0</v>
      </c>
      <c r="F18" s="48">
        <f t="shared" si="1"/>
        <v>19500</v>
      </c>
    </row>
    <row r="19" spans="2:6" x14ac:dyDescent="0.2">
      <c r="B19" s="19">
        <f t="shared" si="2"/>
        <v>14</v>
      </c>
      <c r="C19" s="20"/>
      <c r="D19" s="21">
        <f t="shared" si="0"/>
        <v>0</v>
      </c>
      <c r="E19" s="22">
        <f>SUM($D$6:D19)</f>
        <v>0</v>
      </c>
      <c r="F19" s="48">
        <f t="shared" si="1"/>
        <v>21000</v>
      </c>
    </row>
    <row r="20" spans="2:6" x14ac:dyDescent="0.2">
      <c r="B20" s="19">
        <f t="shared" si="2"/>
        <v>15</v>
      </c>
      <c r="C20" s="20"/>
      <c r="D20" s="21">
        <f t="shared" si="0"/>
        <v>0</v>
      </c>
      <c r="E20" s="22">
        <f>SUM($D$6:D20)</f>
        <v>0</v>
      </c>
      <c r="F20" s="48">
        <f t="shared" si="1"/>
        <v>22500</v>
      </c>
    </row>
    <row r="21" spans="2:6" x14ac:dyDescent="0.2">
      <c r="B21" s="19">
        <f t="shared" si="2"/>
        <v>16</v>
      </c>
      <c r="C21" s="20"/>
      <c r="D21" s="21">
        <f t="shared" si="0"/>
        <v>0</v>
      </c>
      <c r="E21" s="22">
        <f>SUM($D$6:D21)</f>
        <v>0</v>
      </c>
      <c r="F21" s="48">
        <f t="shared" si="1"/>
        <v>24000</v>
      </c>
    </row>
    <row r="22" spans="2:6" x14ac:dyDescent="0.2">
      <c r="B22" s="19">
        <f t="shared" si="2"/>
        <v>17</v>
      </c>
      <c r="C22" s="20"/>
      <c r="D22" s="21">
        <f t="shared" si="0"/>
        <v>0</v>
      </c>
      <c r="E22" s="22">
        <f>SUM($D$6:D22)</f>
        <v>0</v>
      </c>
      <c r="F22" s="23">
        <f t="shared" si="1"/>
        <v>25500</v>
      </c>
    </row>
    <row r="23" spans="2:6" x14ac:dyDescent="0.2">
      <c r="B23" s="19">
        <f t="shared" si="2"/>
        <v>18</v>
      </c>
      <c r="C23" s="20"/>
      <c r="D23" s="21">
        <f t="shared" si="0"/>
        <v>0</v>
      </c>
      <c r="E23" s="22">
        <f>SUM($D$6:D23)</f>
        <v>0</v>
      </c>
      <c r="F23" s="23">
        <f t="shared" si="1"/>
        <v>27000</v>
      </c>
    </row>
    <row r="24" spans="2:6" x14ac:dyDescent="0.2">
      <c r="B24" s="19">
        <f t="shared" si="2"/>
        <v>19</v>
      </c>
      <c r="C24" s="20"/>
      <c r="D24" s="21">
        <f t="shared" si="0"/>
        <v>0</v>
      </c>
      <c r="E24" s="22">
        <f>SUM($D$6:D24)</f>
        <v>0</v>
      </c>
      <c r="F24" s="23">
        <f t="shared" si="1"/>
        <v>28500</v>
      </c>
    </row>
    <row r="25" spans="2:6" x14ac:dyDescent="0.2">
      <c r="B25" s="19">
        <f t="shared" si="2"/>
        <v>20</v>
      </c>
      <c r="C25" s="20"/>
      <c r="D25" s="21">
        <f t="shared" si="0"/>
        <v>0</v>
      </c>
      <c r="E25" s="22">
        <f>SUM($D$6:D25)</f>
        <v>0</v>
      </c>
      <c r="F25" s="23">
        <f t="shared" si="1"/>
        <v>30000</v>
      </c>
    </row>
    <row r="26" spans="2:6" x14ac:dyDescent="0.2">
      <c r="B26" s="19">
        <f t="shared" si="2"/>
        <v>21</v>
      </c>
      <c r="C26" s="20"/>
      <c r="D26" s="21">
        <f t="shared" si="0"/>
        <v>0</v>
      </c>
      <c r="E26" s="22">
        <f>SUM($D$6:D26)</f>
        <v>0</v>
      </c>
      <c r="F26" s="48">
        <f t="shared" si="1"/>
        <v>31500</v>
      </c>
    </row>
    <row r="27" spans="2:6" x14ac:dyDescent="0.2">
      <c r="B27" s="19">
        <f t="shared" si="2"/>
        <v>22</v>
      </c>
      <c r="C27" s="20"/>
      <c r="D27" s="21">
        <f t="shared" si="0"/>
        <v>0</v>
      </c>
      <c r="E27" s="22">
        <f>SUM($D$6:D27)</f>
        <v>0</v>
      </c>
      <c r="F27" s="48">
        <f t="shared" si="1"/>
        <v>33000</v>
      </c>
    </row>
    <row r="28" spans="2:6" x14ac:dyDescent="0.2">
      <c r="B28" s="19">
        <f t="shared" si="2"/>
        <v>23</v>
      </c>
      <c r="C28" s="20"/>
      <c r="D28" s="21">
        <f t="shared" si="0"/>
        <v>0</v>
      </c>
      <c r="E28" s="22">
        <f>SUM($D$6:D28)</f>
        <v>0</v>
      </c>
      <c r="F28" s="48">
        <f t="shared" si="1"/>
        <v>34500</v>
      </c>
    </row>
    <row r="29" spans="2:6" x14ac:dyDescent="0.2">
      <c r="B29" s="19">
        <f t="shared" si="2"/>
        <v>24</v>
      </c>
      <c r="C29" s="20"/>
      <c r="D29" s="21">
        <f t="shared" si="0"/>
        <v>0</v>
      </c>
      <c r="E29" s="22">
        <f>SUM($D$6:D29)</f>
        <v>0</v>
      </c>
      <c r="F29" s="48">
        <f t="shared" si="1"/>
        <v>36000</v>
      </c>
    </row>
    <row r="30" spans="2:6" x14ac:dyDescent="0.2">
      <c r="B30" s="19">
        <f t="shared" si="2"/>
        <v>25</v>
      </c>
      <c r="C30" s="20"/>
      <c r="D30" s="21">
        <f t="shared" si="0"/>
        <v>0</v>
      </c>
      <c r="E30" s="22">
        <f>SUM($D$6:D30)</f>
        <v>0</v>
      </c>
      <c r="F30" s="48">
        <f t="shared" si="1"/>
        <v>37500</v>
      </c>
    </row>
    <row r="31" spans="2:6" x14ac:dyDescent="0.2">
      <c r="B31" s="19">
        <f t="shared" si="2"/>
        <v>26</v>
      </c>
      <c r="C31" s="20"/>
      <c r="D31" s="21">
        <f t="shared" si="0"/>
        <v>0</v>
      </c>
      <c r="E31" s="22">
        <f>SUM($D$6:D31)</f>
        <v>0</v>
      </c>
      <c r="F31" s="48">
        <f t="shared" si="1"/>
        <v>39000</v>
      </c>
    </row>
    <row r="32" spans="2:6" x14ac:dyDescent="0.2">
      <c r="B32" s="19">
        <f t="shared" si="2"/>
        <v>27</v>
      </c>
      <c r="C32" s="20"/>
      <c r="D32" s="21">
        <f t="shared" si="0"/>
        <v>0</v>
      </c>
      <c r="E32" s="22">
        <f>SUM($D$6:D32)</f>
        <v>0</v>
      </c>
      <c r="F32" s="48">
        <f t="shared" si="1"/>
        <v>40500</v>
      </c>
    </row>
    <row r="33" spans="2:6" x14ac:dyDescent="0.2">
      <c r="B33" s="19">
        <f t="shared" si="2"/>
        <v>28</v>
      </c>
      <c r="C33" s="20"/>
      <c r="D33" s="21">
        <f t="shared" si="0"/>
        <v>0</v>
      </c>
      <c r="E33" s="22">
        <f>SUM($D$6:D33)</f>
        <v>0</v>
      </c>
      <c r="F33" s="48">
        <f t="shared" si="1"/>
        <v>42000</v>
      </c>
    </row>
    <row r="34" spans="2:6" x14ac:dyDescent="0.2">
      <c r="B34" s="19">
        <f t="shared" si="2"/>
        <v>29</v>
      </c>
      <c r="C34" s="20"/>
      <c r="D34" s="21">
        <f t="shared" si="0"/>
        <v>0</v>
      </c>
      <c r="E34" s="22">
        <f>SUM($D$6:D34)</f>
        <v>0</v>
      </c>
      <c r="F34" s="48">
        <f t="shared" si="1"/>
        <v>43500</v>
      </c>
    </row>
    <row r="35" spans="2:6" x14ac:dyDescent="0.2">
      <c r="B35" s="19">
        <f t="shared" si="2"/>
        <v>30</v>
      </c>
      <c r="C35" s="20"/>
      <c r="D35" s="21">
        <f t="shared" si="0"/>
        <v>0</v>
      </c>
      <c r="E35" s="22">
        <f>SUM($D$6:D35)</f>
        <v>0</v>
      </c>
      <c r="F35" s="48">
        <f t="shared" si="1"/>
        <v>45000</v>
      </c>
    </row>
    <row r="36" spans="2:6" x14ac:dyDescent="0.2">
      <c r="B36" s="19">
        <f t="shared" si="2"/>
        <v>31</v>
      </c>
      <c r="C36" s="20"/>
      <c r="D36" s="21">
        <f t="shared" si="0"/>
        <v>0</v>
      </c>
      <c r="E36" s="22">
        <f>SUM($D$6:D36)</f>
        <v>0</v>
      </c>
      <c r="F36" s="48">
        <f t="shared" si="1"/>
        <v>46500</v>
      </c>
    </row>
    <row r="37" spans="2:6" x14ac:dyDescent="0.2">
      <c r="B37" s="19">
        <f t="shared" si="2"/>
        <v>32</v>
      </c>
      <c r="C37" s="20"/>
      <c r="D37" s="21">
        <f t="shared" si="0"/>
        <v>0</v>
      </c>
      <c r="E37" s="22">
        <f>SUM($D$6:D37)</f>
        <v>0</v>
      </c>
      <c r="F37" s="48">
        <f t="shared" si="1"/>
        <v>48000</v>
      </c>
    </row>
    <row r="38" spans="2:6" x14ac:dyDescent="0.2">
      <c r="B38" s="19">
        <f t="shared" si="2"/>
        <v>33</v>
      </c>
      <c r="C38" s="20"/>
      <c r="D38" s="21">
        <f t="shared" si="0"/>
        <v>0</v>
      </c>
      <c r="E38" s="22">
        <f>SUM($D$6:D38)</f>
        <v>0</v>
      </c>
      <c r="F38" s="48">
        <f t="shared" si="1"/>
        <v>49500</v>
      </c>
    </row>
    <row r="39" spans="2:6" x14ac:dyDescent="0.2">
      <c r="B39" s="19">
        <f t="shared" si="2"/>
        <v>34</v>
      </c>
      <c r="C39" s="20"/>
      <c r="D39" s="21">
        <f t="shared" si="0"/>
        <v>0</v>
      </c>
      <c r="E39" s="22">
        <f>SUM($D$6:D39)</f>
        <v>0</v>
      </c>
      <c r="F39" s="48">
        <f t="shared" si="1"/>
        <v>51000</v>
      </c>
    </row>
    <row r="40" spans="2:6" x14ac:dyDescent="0.2">
      <c r="B40" s="19">
        <f t="shared" si="2"/>
        <v>35</v>
      </c>
      <c r="C40" s="20"/>
      <c r="D40" s="21">
        <f t="shared" si="0"/>
        <v>0</v>
      </c>
      <c r="E40" s="22">
        <f>SUM($D$6:D40)</f>
        <v>0</v>
      </c>
      <c r="F40" s="48">
        <f t="shared" si="1"/>
        <v>52500</v>
      </c>
    </row>
    <row r="41" spans="2:6" x14ac:dyDescent="0.2">
      <c r="B41" s="19">
        <f t="shared" si="2"/>
        <v>36</v>
      </c>
      <c r="C41" s="20"/>
      <c r="D41" s="21">
        <f t="shared" si="0"/>
        <v>0</v>
      </c>
      <c r="E41" s="22">
        <f>SUM($D$6:D41)</f>
        <v>0</v>
      </c>
      <c r="F41" s="48">
        <f t="shared" si="1"/>
        <v>54000</v>
      </c>
    </row>
    <row r="42" spans="2:6" x14ac:dyDescent="0.2">
      <c r="B42" s="19">
        <f t="shared" si="2"/>
        <v>37</v>
      </c>
      <c r="C42" s="20"/>
      <c r="D42" s="21">
        <f t="shared" si="0"/>
        <v>0</v>
      </c>
      <c r="E42" s="22">
        <f>SUM($D$6:D42)</f>
        <v>0</v>
      </c>
      <c r="F42" s="48">
        <f t="shared" si="1"/>
        <v>55500</v>
      </c>
    </row>
    <row r="43" spans="2:6" x14ac:dyDescent="0.2">
      <c r="B43" s="19">
        <f t="shared" si="2"/>
        <v>38</v>
      </c>
      <c r="C43" s="20"/>
      <c r="D43" s="21">
        <f t="shared" si="0"/>
        <v>0</v>
      </c>
      <c r="E43" s="22">
        <f>SUM($D$6:D43)</f>
        <v>0</v>
      </c>
      <c r="F43" s="48">
        <f t="shared" si="1"/>
        <v>57000</v>
      </c>
    </row>
    <row r="44" spans="2:6" x14ac:dyDescent="0.2">
      <c r="B44" s="19">
        <f t="shared" si="2"/>
        <v>39</v>
      </c>
      <c r="C44" s="20"/>
      <c r="D44" s="21">
        <f t="shared" si="0"/>
        <v>0</v>
      </c>
      <c r="E44" s="22">
        <f>SUM($D$6:D44)</f>
        <v>0</v>
      </c>
      <c r="F44" s="48">
        <f t="shared" si="1"/>
        <v>58500</v>
      </c>
    </row>
    <row r="45" spans="2:6" x14ac:dyDescent="0.2">
      <c r="B45" s="19">
        <f t="shared" si="2"/>
        <v>40</v>
      </c>
      <c r="C45" s="20"/>
      <c r="D45" s="21">
        <f t="shared" si="0"/>
        <v>0</v>
      </c>
      <c r="E45" s="22">
        <f>SUM($D$6:D45)</f>
        <v>0</v>
      </c>
      <c r="F45" s="48">
        <f t="shared" si="1"/>
        <v>60000</v>
      </c>
    </row>
    <row r="46" spans="2:6" x14ac:dyDescent="0.2">
      <c r="B46" s="19">
        <f t="shared" si="2"/>
        <v>41</v>
      </c>
      <c r="C46" s="20"/>
      <c r="D46" s="21">
        <f t="shared" si="0"/>
        <v>0</v>
      </c>
      <c r="E46" s="22">
        <f>SUM($D$6:D46)</f>
        <v>0</v>
      </c>
      <c r="F46" s="48">
        <f t="shared" si="1"/>
        <v>61500</v>
      </c>
    </row>
    <row r="47" spans="2:6" x14ac:dyDescent="0.2">
      <c r="B47" s="19">
        <f t="shared" si="2"/>
        <v>42</v>
      </c>
      <c r="C47" s="20"/>
      <c r="D47" s="21">
        <f t="shared" si="0"/>
        <v>0</v>
      </c>
      <c r="E47" s="22">
        <f>SUM($D$6:D47)</f>
        <v>0</v>
      </c>
      <c r="F47" s="48">
        <f t="shared" si="1"/>
        <v>63000</v>
      </c>
    </row>
    <row r="48" spans="2:6" x14ac:dyDescent="0.2">
      <c r="B48" s="19">
        <f t="shared" si="2"/>
        <v>43</v>
      </c>
      <c r="C48" s="20"/>
      <c r="D48" s="21">
        <f t="shared" si="0"/>
        <v>0</v>
      </c>
      <c r="E48" s="22">
        <f>SUM($D$6:D48)</f>
        <v>0</v>
      </c>
      <c r="F48" s="48">
        <f t="shared" si="1"/>
        <v>64500</v>
      </c>
    </row>
    <row r="49" spans="2:6" x14ac:dyDescent="0.2">
      <c r="B49" s="19">
        <f t="shared" si="2"/>
        <v>44</v>
      </c>
      <c r="C49" s="20"/>
      <c r="D49" s="21">
        <f t="shared" si="0"/>
        <v>0</v>
      </c>
      <c r="E49" s="22">
        <f>SUM($D$6:D49)</f>
        <v>0</v>
      </c>
      <c r="F49" s="48">
        <f t="shared" si="1"/>
        <v>66000</v>
      </c>
    </row>
    <row r="50" spans="2:6" x14ac:dyDescent="0.2">
      <c r="B50" s="19">
        <f t="shared" si="2"/>
        <v>45</v>
      </c>
      <c r="C50" s="20"/>
      <c r="D50" s="21">
        <f t="shared" si="0"/>
        <v>0</v>
      </c>
      <c r="E50" s="22">
        <f>SUM($D$6:D50)</f>
        <v>0</v>
      </c>
      <c r="F50" s="48">
        <f t="shared" si="1"/>
        <v>67500</v>
      </c>
    </row>
    <row r="51" spans="2:6" x14ac:dyDescent="0.2">
      <c r="B51" s="19">
        <f t="shared" si="2"/>
        <v>46</v>
      </c>
      <c r="C51" s="20"/>
      <c r="D51" s="21">
        <f t="shared" si="0"/>
        <v>0</v>
      </c>
      <c r="E51" s="22">
        <f>SUM($D$6:D51)</f>
        <v>0</v>
      </c>
      <c r="F51" s="48">
        <f t="shared" si="1"/>
        <v>69000</v>
      </c>
    </row>
    <row r="52" spans="2:6" x14ac:dyDescent="0.2">
      <c r="B52" s="19">
        <f t="shared" si="2"/>
        <v>47</v>
      </c>
      <c r="C52" s="20"/>
      <c r="D52" s="21">
        <f t="shared" si="0"/>
        <v>0</v>
      </c>
      <c r="E52" s="22">
        <f>SUM($D$6:D52)</f>
        <v>0</v>
      </c>
      <c r="F52" s="48">
        <f t="shared" si="1"/>
        <v>70500</v>
      </c>
    </row>
    <row r="53" spans="2:6" x14ac:dyDescent="0.2">
      <c r="B53" s="19">
        <f t="shared" si="2"/>
        <v>48</v>
      </c>
      <c r="C53" s="20"/>
      <c r="D53" s="21">
        <f t="shared" si="0"/>
        <v>0</v>
      </c>
      <c r="E53" s="22">
        <f>SUM($D$6:D53)</f>
        <v>0</v>
      </c>
      <c r="F53" s="48">
        <f t="shared" si="1"/>
        <v>72000</v>
      </c>
    </row>
    <row r="54" spans="2:6" x14ac:dyDescent="0.2">
      <c r="B54" s="19">
        <f t="shared" si="2"/>
        <v>49</v>
      </c>
      <c r="C54" s="20"/>
      <c r="D54" s="21">
        <f t="shared" si="0"/>
        <v>0</v>
      </c>
      <c r="E54" s="22">
        <f>SUM($D$6:D54)</f>
        <v>0</v>
      </c>
      <c r="F54" s="48">
        <f t="shared" si="1"/>
        <v>73500</v>
      </c>
    </row>
    <row r="55" spans="2:6" x14ac:dyDescent="0.2">
      <c r="B55" s="19">
        <f t="shared" si="2"/>
        <v>50</v>
      </c>
      <c r="C55" s="20"/>
      <c r="D55" s="21">
        <f t="shared" si="0"/>
        <v>0</v>
      </c>
      <c r="E55" s="22">
        <f>SUM($D$6:D55)</f>
        <v>0</v>
      </c>
      <c r="F55" s="48">
        <f t="shared" si="1"/>
        <v>75000</v>
      </c>
    </row>
    <row r="56" spans="2:6" x14ac:dyDescent="0.2">
      <c r="B56" s="19">
        <f t="shared" si="2"/>
        <v>51</v>
      </c>
      <c r="C56" s="20"/>
      <c r="D56" s="21">
        <f t="shared" si="0"/>
        <v>0</v>
      </c>
      <c r="E56" s="22">
        <f>SUM($D$6:D56)</f>
        <v>0</v>
      </c>
      <c r="F56" s="48">
        <f t="shared" si="1"/>
        <v>76500</v>
      </c>
    </row>
    <row r="57" spans="2:6" x14ac:dyDescent="0.2">
      <c r="B57" s="19">
        <f t="shared" si="2"/>
        <v>52</v>
      </c>
      <c r="C57" s="20"/>
      <c r="D57" s="21">
        <f t="shared" si="0"/>
        <v>0</v>
      </c>
      <c r="E57" s="22">
        <f>SUM($D$6:D57)</f>
        <v>0</v>
      </c>
      <c r="F57" s="48">
        <f t="shared" si="1"/>
        <v>78000</v>
      </c>
    </row>
    <row r="58" spans="2:6" x14ac:dyDescent="0.2">
      <c r="B58" s="19">
        <f t="shared" si="2"/>
        <v>53</v>
      </c>
      <c r="C58" s="20"/>
      <c r="D58" s="21">
        <f t="shared" si="0"/>
        <v>0</v>
      </c>
      <c r="E58" s="22">
        <f>SUM($D$6:D58)</f>
        <v>0</v>
      </c>
      <c r="F58" s="48">
        <f t="shared" si="1"/>
        <v>79500</v>
      </c>
    </row>
    <row r="59" spans="2:6" x14ac:dyDescent="0.2">
      <c r="B59" s="19">
        <f t="shared" si="2"/>
        <v>54</v>
      </c>
      <c r="C59" s="20"/>
      <c r="D59" s="21">
        <f t="shared" si="0"/>
        <v>0</v>
      </c>
      <c r="E59" s="22">
        <f>SUM($D$6:D59)</f>
        <v>0</v>
      </c>
      <c r="F59" s="48">
        <f t="shared" si="1"/>
        <v>81000</v>
      </c>
    </row>
    <row r="60" spans="2:6" x14ac:dyDescent="0.2">
      <c r="B60" s="19">
        <f t="shared" si="2"/>
        <v>55</v>
      </c>
      <c r="C60" s="20"/>
      <c r="D60" s="21">
        <f t="shared" si="0"/>
        <v>0</v>
      </c>
      <c r="E60" s="22">
        <f>SUM($D$6:D60)</f>
        <v>0</v>
      </c>
      <c r="F60" s="48">
        <f t="shared" si="1"/>
        <v>82500</v>
      </c>
    </row>
    <row r="61" spans="2:6" x14ac:dyDescent="0.2">
      <c r="B61" s="19">
        <f t="shared" si="2"/>
        <v>56</v>
      </c>
      <c r="C61" s="20"/>
      <c r="D61" s="21">
        <f t="shared" si="0"/>
        <v>0</v>
      </c>
      <c r="E61" s="22">
        <f>SUM($D$6:D61)</f>
        <v>0</v>
      </c>
      <c r="F61" s="48">
        <f t="shared" si="1"/>
        <v>84000</v>
      </c>
    </row>
    <row r="62" spans="2:6" x14ac:dyDescent="0.2">
      <c r="B62" s="19">
        <f t="shared" si="2"/>
        <v>57</v>
      </c>
      <c r="C62" s="20"/>
      <c r="D62" s="21">
        <f t="shared" si="0"/>
        <v>0</v>
      </c>
      <c r="E62" s="22">
        <f>SUM($D$6:D62)</f>
        <v>0</v>
      </c>
      <c r="F62" s="48">
        <f t="shared" si="1"/>
        <v>85500</v>
      </c>
    </row>
    <row r="63" spans="2:6" x14ac:dyDescent="0.2">
      <c r="B63" s="19">
        <f t="shared" si="2"/>
        <v>58</v>
      </c>
      <c r="C63" s="20"/>
      <c r="D63" s="21">
        <f t="shared" si="0"/>
        <v>0</v>
      </c>
      <c r="E63" s="22">
        <f>SUM($D$6:D63)</f>
        <v>0</v>
      </c>
      <c r="F63" s="48">
        <f t="shared" si="1"/>
        <v>87000</v>
      </c>
    </row>
    <row r="64" spans="2:6" x14ac:dyDescent="0.2">
      <c r="B64" s="19">
        <f t="shared" si="2"/>
        <v>59</v>
      </c>
      <c r="C64" s="20"/>
      <c r="D64" s="21">
        <f t="shared" si="0"/>
        <v>0</v>
      </c>
      <c r="E64" s="22">
        <f>SUM($D$6:D64)</f>
        <v>0</v>
      </c>
      <c r="F64" s="48">
        <f t="shared" si="1"/>
        <v>88500</v>
      </c>
    </row>
    <row r="65" spans="2:6" x14ac:dyDescent="0.2">
      <c r="B65" s="19">
        <f t="shared" si="2"/>
        <v>60</v>
      </c>
      <c r="C65" s="20"/>
      <c r="D65" s="21">
        <f t="shared" si="0"/>
        <v>0</v>
      </c>
      <c r="E65" s="22">
        <f>SUM($D$6:D65)</f>
        <v>0</v>
      </c>
      <c r="F65" s="48">
        <f t="shared" si="1"/>
        <v>90000</v>
      </c>
    </row>
    <row r="66" spans="2:6" x14ac:dyDescent="0.2">
      <c r="B66" s="19">
        <f t="shared" si="2"/>
        <v>61</v>
      </c>
      <c r="C66" s="20"/>
      <c r="D66" s="21">
        <f t="shared" si="0"/>
        <v>0</v>
      </c>
      <c r="E66" s="22">
        <f>SUM($D$6:D66)</f>
        <v>0</v>
      </c>
      <c r="F66" s="48">
        <f t="shared" si="1"/>
        <v>91500</v>
      </c>
    </row>
    <row r="67" spans="2:6" x14ac:dyDescent="0.2">
      <c r="B67" s="19">
        <f t="shared" si="2"/>
        <v>62</v>
      </c>
      <c r="C67" s="20"/>
      <c r="D67" s="21">
        <f t="shared" si="0"/>
        <v>0</v>
      </c>
      <c r="E67" s="22">
        <f>SUM($D$6:D67)</f>
        <v>0</v>
      </c>
      <c r="F67" s="48">
        <f t="shared" si="1"/>
        <v>93000</v>
      </c>
    </row>
    <row r="68" spans="2:6" x14ac:dyDescent="0.2">
      <c r="B68" s="19">
        <f t="shared" si="2"/>
        <v>63</v>
      </c>
      <c r="C68" s="20"/>
      <c r="D68" s="21">
        <f t="shared" si="0"/>
        <v>0</v>
      </c>
      <c r="E68" s="22">
        <f>SUM($D$6:D68)</f>
        <v>0</v>
      </c>
      <c r="F68" s="48">
        <f t="shared" si="1"/>
        <v>94500</v>
      </c>
    </row>
    <row r="69" spans="2:6" x14ac:dyDescent="0.2">
      <c r="B69" s="19">
        <f t="shared" si="2"/>
        <v>64</v>
      </c>
      <c r="C69" s="20"/>
      <c r="D69" s="21">
        <f t="shared" si="0"/>
        <v>0</v>
      </c>
      <c r="E69" s="22">
        <f>SUM($D$6:D69)</f>
        <v>0</v>
      </c>
      <c r="F69" s="48">
        <f t="shared" si="1"/>
        <v>96000</v>
      </c>
    </row>
    <row r="70" spans="2:6" x14ac:dyDescent="0.2">
      <c r="B70" s="19">
        <f t="shared" si="2"/>
        <v>65</v>
      </c>
      <c r="C70" s="20"/>
      <c r="D70" s="21">
        <f t="shared" ref="D70:D105" si="3">4*SQRT(C70)</f>
        <v>0</v>
      </c>
      <c r="E70" s="22">
        <f>SUM($D$6:D70)</f>
        <v>0</v>
      </c>
      <c r="F70" s="48">
        <f t="shared" si="1"/>
        <v>97500</v>
      </c>
    </row>
    <row r="71" spans="2:6" x14ac:dyDescent="0.2">
      <c r="B71" s="19">
        <f t="shared" si="2"/>
        <v>66</v>
      </c>
      <c r="C71" s="20"/>
      <c r="D71" s="21">
        <f t="shared" si="3"/>
        <v>0</v>
      </c>
      <c r="E71" s="22">
        <f>SUM($D$6:D71)</f>
        <v>0</v>
      </c>
      <c r="F71" s="48">
        <f t="shared" ref="F71:F105" si="4">1500*B71</f>
        <v>99000</v>
      </c>
    </row>
    <row r="72" spans="2:6" x14ac:dyDescent="0.2">
      <c r="B72" s="19">
        <f t="shared" ref="B72:B103" si="5">B71+1</f>
        <v>67</v>
      </c>
      <c r="C72" s="20"/>
      <c r="D72" s="21">
        <f t="shared" si="3"/>
        <v>0</v>
      </c>
      <c r="E72" s="22">
        <f>SUM($D$6:D72)</f>
        <v>0</v>
      </c>
      <c r="F72" s="48">
        <f t="shared" si="4"/>
        <v>100500</v>
      </c>
    </row>
    <row r="73" spans="2:6" x14ac:dyDescent="0.2">
      <c r="B73" s="19">
        <f t="shared" si="5"/>
        <v>68</v>
      </c>
      <c r="C73" s="20"/>
      <c r="D73" s="21">
        <f t="shared" si="3"/>
        <v>0</v>
      </c>
      <c r="E73" s="22">
        <f>SUM($D$6:D73)</f>
        <v>0</v>
      </c>
      <c r="F73" s="48">
        <f t="shared" si="4"/>
        <v>102000</v>
      </c>
    </row>
    <row r="74" spans="2:6" x14ac:dyDescent="0.2">
      <c r="B74" s="19">
        <f t="shared" si="5"/>
        <v>69</v>
      </c>
      <c r="C74" s="20"/>
      <c r="D74" s="21">
        <f t="shared" si="3"/>
        <v>0</v>
      </c>
      <c r="E74" s="22">
        <f>SUM($D$6:D74)</f>
        <v>0</v>
      </c>
      <c r="F74" s="48">
        <f t="shared" si="4"/>
        <v>103500</v>
      </c>
    </row>
    <row r="75" spans="2:6" x14ac:dyDescent="0.2">
      <c r="B75" s="19">
        <f t="shared" si="5"/>
        <v>70</v>
      </c>
      <c r="C75" s="20"/>
      <c r="D75" s="21">
        <f t="shared" si="3"/>
        <v>0</v>
      </c>
      <c r="E75" s="22">
        <f>SUM($D$6:D75)</f>
        <v>0</v>
      </c>
      <c r="F75" s="48">
        <f t="shared" si="4"/>
        <v>105000</v>
      </c>
    </row>
    <row r="76" spans="2:6" x14ac:dyDescent="0.2">
      <c r="B76" s="19">
        <f t="shared" si="5"/>
        <v>71</v>
      </c>
      <c r="C76" s="20"/>
      <c r="D76" s="21">
        <f t="shared" si="3"/>
        <v>0</v>
      </c>
      <c r="E76" s="22">
        <f>SUM($D$6:D76)</f>
        <v>0</v>
      </c>
      <c r="F76" s="48">
        <f t="shared" si="4"/>
        <v>106500</v>
      </c>
    </row>
    <row r="77" spans="2:6" x14ac:dyDescent="0.2">
      <c r="B77" s="19">
        <f t="shared" si="5"/>
        <v>72</v>
      </c>
      <c r="C77" s="20"/>
      <c r="D77" s="21">
        <f t="shared" si="3"/>
        <v>0</v>
      </c>
      <c r="E77" s="22">
        <f>SUM($D$6:D77)</f>
        <v>0</v>
      </c>
      <c r="F77" s="48">
        <f t="shared" si="4"/>
        <v>108000</v>
      </c>
    </row>
    <row r="78" spans="2:6" x14ac:dyDescent="0.2">
      <c r="B78" s="19">
        <f t="shared" si="5"/>
        <v>73</v>
      </c>
      <c r="C78" s="20"/>
      <c r="D78" s="21">
        <f t="shared" si="3"/>
        <v>0</v>
      </c>
      <c r="E78" s="22">
        <f>SUM($D$6:D78)</f>
        <v>0</v>
      </c>
      <c r="F78" s="48">
        <f t="shared" si="4"/>
        <v>109500</v>
      </c>
    </row>
    <row r="79" spans="2:6" x14ac:dyDescent="0.2">
      <c r="B79" s="19">
        <f t="shared" si="5"/>
        <v>74</v>
      </c>
      <c r="C79" s="20"/>
      <c r="D79" s="21">
        <f t="shared" si="3"/>
        <v>0</v>
      </c>
      <c r="E79" s="22">
        <f>SUM($D$6:D79)</f>
        <v>0</v>
      </c>
      <c r="F79" s="48">
        <f t="shared" si="4"/>
        <v>111000</v>
      </c>
    </row>
    <row r="80" spans="2:6" x14ac:dyDescent="0.2">
      <c r="B80" s="19">
        <f t="shared" si="5"/>
        <v>75</v>
      </c>
      <c r="C80" s="20"/>
      <c r="D80" s="21">
        <f t="shared" si="3"/>
        <v>0</v>
      </c>
      <c r="E80" s="22">
        <f>SUM($D$6:D80)</f>
        <v>0</v>
      </c>
      <c r="F80" s="48">
        <f t="shared" si="4"/>
        <v>112500</v>
      </c>
    </row>
    <row r="81" spans="2:6" x14ac:dyDescent="0.2">
      <c r="B81" s="19">
        <f t="shared" si="5"/>
        <v>76</v>
      </c>
      <c r="C81" s="20"/>
      <c r="D81" s="21">
        <f t="shared" si="3"/>
        <v>0</v>
      </c>
      <c r="E81" s="22">
        <f>SUM($D$6:D81)</f>
        <v>0</v>
      </c>
      <c r="F81" s="48">
        <f t="shared" si="4"/>
        <v>114000</v>
      </c>
    </row>
    <row r="82" spans="2:6" x14ac:dyDescent="0.2">
      <c r="B82" s="19">
        <f t="shared" si="5"/>
        <v>77</v>
      </c>
      <c r="C82" s="20"/>
      <c r="D82" s="21">
        <f t="shared" si="3"/>
        <v>0</v>
      </c>
      <c r="E82" s="22">
        <f>SUM($D$6:D82)</f>
        <v>0</v>
      </c>
      <c r="F82" s="48">
        <f t="shared" si="4"/>
        <v>115500</v>
      </c>
    </row>
    <row r="83" spans="2:6" x14ac:dyDescent="0.2">
      <c r="B83" s="19">
        <f t="shared" si="5"/>
        <v>78</v>
      </c>
      <c r="C83" s="20"/>
      <c r="D83" s="21">
        <f t="shared" si="3"/>
        <v>0</v>
      </c>
      <c r="E83" s="22">
        <f>SUM($D$6:D83)</f>
        <v>0</v>
      </c>
      <c r="F83" s="48">
        <f t="shared" si="4"/>
        <v>117000</v>
      </c>
    </row>
    <row r="84" spans="2:6" x14ac:dyDescent="0.2">
      <c r="B84" s="19">
        <f t="shared" si="5"/>
        <v>79</v>
      </c>
      <c r="C84" s="20"/>
      <c r="D84" s="21">
        <f t="shared" si="3"/>
        <v>0</v>
      </c>
      <c r="E84" s="22">
        <f>SUM($D$6:D84)</f>
        <v>0</v>
      </c>
      <c r="F84" s="48">
        <f t="shared" si="4"/>
        <v>118500</v>
      </c>
    </row>
    <row r="85" spans="2:6" x14ac:dyDescent="0.2">
      <c r="B85" s="19">
        <f t="shared" si="5"/>
        <v>80</v>
      </c>
      <c r="C85" s="20"/>
      <c r="D85" s="21">
        <f t="shared" si="3"/>
        <v>0</v>
      </c>
      <c r="E85" s="22">
        <f>SUM($D$6:D85)</f>
        <v>0</v>
      </c>
      <c r="F85" s="48">
        <f t="shared" si="4"/>
        <v>120000</v>
      </c>
    </row>
    <row r="86" spans="2:6" x14ac:dyDescent="0.2">
      <c r="B86" s="19">
        <f t="shared" si="5"/>
        <v>81</v>
      </c>
      <c r="C86" s="20"/>
      <c r="D86" s="21">
        <f t="shared" si="3"/>
        <v>0</v>
      </c>
      <c r="E86" s="22">
        <f>SUM($D$6:D86)</f>
        <v>0</v>
      </c>
      <c r="F86" s="48">
        <f t="shared" si="4"/>
        <v>121500</v>
      </c>
    </row>
    <row r="87" spans="2:6" x14ac:dyDescent="0.2">
      <c r="B87" s="19">
        <f t="shared" si="5"/>
        <v>82</v>
      </c>
      <c r="C87" s="20"/>
      <c r="D87" s="21">
        <f t="shared" si="3"/>
        <v>0</v>
      </c>
      <c r="E87" s="22">
        <f>SUM($D$6:D87)</f>
        <v>0</v>
      </c>
      <c r="F87" s="48">
        <f t="shared" si="4"/>
        <v>123000</v>
      </c>
    </row>
    <row r="88" spans="2:6" x14ac:dyDescent="0.2">
      <c r="B88" s="19">
        <f t="shared" si="5"/>
        <v>83</v>
      </c>
      <c r="C88" s="20"/>
      <c r="D88" s="21">
        <f t="shared" si="3"/>
        <v>0</v>
      </c>
      <c r="E88" s="22">
        <f>SUM($D$6:D88)</f>
        <v>0</v>
      </c>
      <c r="F88" s="48">
        <f t="shared" si="4"/>
        <v>124500</v>
      </c>
    </row>
    <row r="89" spans="2:6" x14ac:dyDescent="0.2">
      <c r="B89" s="19">
        <f t="shared" si="5"/>
        <v>84</v>
      </c>
      <c r="C89" s="20"/>
      <c r="D89" s="21">
        <f t="shared" si="3"/>
        <v>0</v>
      </c>
      <c r="E89" s="22">
        <f>SUM($D$6:D89)</f>
        <v>0</v>
      </c>
      <c r="F89" s="48">
        <f t="shared" si="4"/>
        <v>126000</v>
      </c>
    </row>
    <row r="90" spans="2:6" x14ac:dyDescent="0.2">
      <c r="B90" s="19">
        <f t="shared" si="5"/>
        <v>85</v>
      </c>
      <c r="C90" s="20"/>
      <c r="D90" s="21">
        <f t="shared" si="3"/>
        <v>0</v>
      </c>
      <c r="E90" s="22">
        <f>SUM($D$6:D90)</f>
        <v>0</v>
      </c>
      <c r="F90" s="48">
        <f t="shared" si="4"/>
        <v>127500</v>
      </c>
    </row>
    <row r="91" spans="2:6" x14ac:dyDescent="0.2">
      <c r="B91" s="19">
        <f t="shared" si="5"/>
        <v>86</v>
      </c>
      <c r="C91" s="20"/>
      <c r="D91" s="21">
        <f t="shared" si="3"/>
        <v>0</v>
      </c>
      <c r="E91" s="22">
        <f>SUM($D$6:D91)</f>
        <v>0</v>
      </c>
      <c r="F91" s="48">
        <f t="shared" si="4"/>
        <v>129000</v>
      </c>
    </row>
    <row r="92" spans="2:6" x14ac:dyDescent="0.2">
      <c r="B92" s="19">
        <f t="shared" si="5"/>
        <v>87</v>
      </c>
      <c r="C92" s="20"/>
      <c r="D92" s="21">
        <f t="shared" si="3"/>
        <v>0</v>
      </c>
      <c r="E92" s="22">
        <f>SUM($D$6:D92)</f>
        <v>0</v>
      </c>
      <c r="F92" s="48">
        <f t="shared" si="4"/>
        <v>130500</v>
      </c>
    </row>
    <row r="93" spans="2:6" x14ac:dyDescent="0.2">
      <c r="B93" s="19">
        <f t="shared" si="5"/>
        <v>88</v>
      </c>
      <c r="C93" s="20"/>
      <c r="D93" s="21">
        <f t="shared" si="3"/>
        <v>0</v>
      </c>
      <c r="E93" s="22">
        <f>SUM($D$6:D93)</f>
        <v>0</v>
      </c>
      <c r="F93" s="48">
        <f t="shared" si="4"/>
        <v>132000</v>
      </c>
    </row>
    <row r="94" spans="2:6" x14ac:dyDescent="0.2">
      <c r="B94" s="19">
        <f t="shared" si="5"/>
        <v>89</v>
      </c>
      <c r="C94" s="20"/>
      <c r="D94" s="21">
        <f t="shared" si="3"/>
        <v>0</v>
      </c>
      <c r="E94" s="22">
        <f>SUM($D$6:D94)</f>
        <v>0</v>
      </c>
      <c r="F94" s="48">
        <f t="shared" si="4"/>
        <v>133500</v>
      </c>
    </row>
    <row r="95" spans="2:6" x14ac:dyDescent="0.2">
      <c r="B95" s="19">
        <f t="shared" si="5"/>
        <v>90</v>
      </c>
      <c r="C95" s="20"/>
      <c r="D95" s="21">
        <f t="shared" si="3"/>
        <v>0</v>
      </c>
      <c r="E95" s="22">
        <f>SUM($D$6:D95)</f>
        <v>0</v>
      </c>
      <c r="F95" s="48">
        <f t="shared" si="4"/>
        <v>135000</v>
      </c>
    </row>
    <row r="96" spans="2:6" x14ac:dyDescent="0.2">
      <c r="B96" s="19">
        <f t="shared" si="5"/>
        <v>91</v>
      </c>
      <c r="C96" s="20"/>
      <c r="D96" s="21">
        <f t="shared" si="3"/>
        <v>0</v>
      </c>
      <c r="E96" s="22">
        <f>SUM($D$6:D96)</f>
        <v>0</v>
      </c>
      <c r="F96" s="48">
        <f t="shared" si="4"/>
        <v>136500</v>
      </c>
    </row>
    <row r="97" spans="2:6" x14ac:dyDescent="0.2">
      <c r="B97" s="19">
        <f t="shared" si="5"/>
        <v>92</v>
      </c>
      <c r="C97" s="20"/>
      <c r="D97" s="21">
        <f t="shared" si="3"/>
        <v>0</v>
      </c>
      <c r="E97" s="22">
        <f>SUM($D$6:D97)</f>
        <v>0</v>
      </c>
      <c r="F97" s="48">
        <f t="shared" si="4"/>
        <v>138000</v>
      </c>
    </row>
    <row r="98" spans="2:6" x14ac:dyDescent="0.2">
      <c r="B98" s="19">
        <f t="shared" si="5"/>
        <v>93</v>
      </c>
      <c r="C98" s="20"/>
      <c r="D98" s="21">
        <f t="shared" si="3"/>
        <v>0</v>
      </c>
      <c r="E98" s="22">
        <f>SUM($D$6:D98)</f>
        <v>0</v>
      </c>
      <c r="F98" s="48">
        <f t="shared" si="4"/>
        <v>139500</v>
      </c>
    </row>
    <row r="99" spans="2:6" x14ac:dyDescent="0.2">
      <c r="B99" s="19">
        <f t="shared" si="5"/>
        <v>94</v>
      </c>
      <c r="C99" s="20"/>
      <c r="D99" s="21">
        <f t="shared" si="3"/>
        <v>0</v>
      </c>
      <c r="E99" s="22">
        <f>SUM($D$6:D99)</f>
        <v>0</v>
      </c>
      <c r="F99" s="48">
        <f t="shared" si="4"/>
        <v>141000</v>
      </c>
    </row>
    <row r="100" spans="2:6" x14ac:dyDescent="0.2">
      <c r="B100" s="19">
        <f t="shared" si="5"/>
        <v>95</v>
      </c>
      <c r="C100" s="20"/>
      <c r="D100" s="21">
        <f t="shared" si="3"/>
        <v>0</v>
      </c>
      <c r="E100" s="22">
        <f>SUM($D$6:D100)</f>
        <v>0</v>
      </c>
      <c r="F100" s="48">
        <f t="shared" si="4"/>
        <v>142500</v>
      </c>
    </row>
    <row r="101" spans="2:6" x14ac:dyDescent="0.2">
      <c r="B101" s="19">
        <f t="shared" si="5"/>
        <v>96</v>
      </c>
      <c r="C101" s="20"/>
      <c r="D101" s="21">
        <f t="shared" si="3"/>
        <v>0</v>
      </c>
      <c r="E101" s="22">
        <f>SUM($D$6:D101)</f>
        <v>0</v>
      </c>
      <c r="F101" s="48">
        <f t="shared" si="4"/>
        <v>144000</v>
      </c>
    </row>
    <row r="102" spans="2:6" x14ac:dyDescent="0.2">
      <c r="B102" s="19">
        <f t="shared" si="5"/>
        <v>97</v>
      </c>
      <c r="C102" s="20"/>
      <c r="D102" s="21">
        <f t="shared" si="3"/>
        <v>0</v>
      </c>
      <c r="E102" s="22">
        <f>SUM($D$6:D102)</f>
        <v>0</v>
      </c>
      <c r="F102" s="48">
        <f t="shared" si="4"/>
        <v>145500</v>
      </c>
    </row>
    <row r="103" spans="2:6" x14ac:dyDescent="0.2">
      <c r="B103" s="19">
        <f t="shared" si="5"/>
        <v>98</v>
      </c>
      <c r="C103" s="20"/>
      <c r="D103" s="21">
        <f t="shared" si="3"/>
        <v>0</v>
      </c>
      <c r="E103" s="22">
        <f>SUM($D$6:D103)</f>
        <v>0</v>
      </c>
      <c r="F103" s="48">
        <f t="shared" si="4"/>
        <v>147000</v>
      </c>
    </row>
    <row r="104" spans="2:6" x14ac:dyDescent="0.2">
      <c r="B104" s="19">
        <f>B103+1</f>
        <v>99</v>
      </c>
      <c r="C104" s="20"/>
      <c r="D104" s="21">
        <f t="shared" si="3"/>
        <v>0</v>
      </c>
      <c r="E104" s="22">
        <f>SUM($D$6:D104)</f>
        <v>0</v>
      </c>
      <c r="F104" s="48">
        <f t="shared" si="4"/>
        <v>148500</v>
      </c>
    </row>
    <row r="105" spans="2:6" x14ac:dyDescent="0.2">
      <c r="B105" s="49">
        <f>B104+1</f>
        <v>100</v>
      </c>
      <c r="C105" s="20"/>
      <c r="D105" s="50">
        <f t="shared" si="3"/>
        <v>0</v>
      </c>
      <c r="E105" s="22">
        <f>SUM($D$6:D105)</f>
        <v>0</v>
      </c>
      <c r="F105" s="48">
        <f t="shared" si="4"/>
        <v>150000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R-fn</vt:lpstr>
      <vt:lpstr>Discrete</vt:lpstr>
      <vt:lpstr>Continous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Jeongsub Choi</dc:creator>
  <cp:lastModifiedBy>Clason Peter</cp:lastModifiedBy>
  <dcterms:created xsi:type="dcterms:W3CDTF">2021-01-22T03:30:25Z</dcterms:created>
  <dcterms:modified xsi:type="dcterms:W3CDTF">2026-03-11T17:11:28Z</dcterms:modified>
</cp:coreProperties>
</file>